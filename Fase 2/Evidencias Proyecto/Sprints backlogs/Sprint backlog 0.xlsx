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Historias de usuario" sheetId="1" state="visible" r:id="rId1"/>
    <sheet xmlns:r="http://schemas.openxmlformats.org/officeDocument/2006/relationships" name="Instructivo" sheetId="2" state="visible" r:id="rId2"/>
  </sheets>
  <definedNames>
    <definedName name="_xlnm.Print_Titles" localSheetId="0">'Historias de usuario'!$2:$5,'Historias de usuario'!$B:$F</definedName>
    <definedName name="_xlnm.Print_Area" localSheetId="0">'Historias de usuario'!$A$1:$BR$19</definedName>
    <definedName name="_xlnm.Print_Area" localSheetId="1">'Instructivo'!$A$1:$D$15</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color theme="0"/>
      <sz val="11"/>
      <scheme val="minor"/>
    </font>
    <font>
      <name val="Calibri"/>
      <family val="2"/>
      <b val="1"/>
      <color theme="3"/>
      <sz val="16"/>
      <scheme val="minor"/>
    </font>
    <font>
      <name val="Calibri"/>
      <family val="2"/>
      <b val="1"/>
      <color rgb="FF613615"/>
      <sz val="22"/>
      <scheme val="minor"/>
    </font>
    <font>
      <name val="Calibri"/>
      <family val="2"/>
      <color rgb="FF613615"/>
      <sz val="11"/>
      <scheme val="minor"/>
    </font>
  </fonts>
  <fills count="7">
    <fill>
      <patternFill/>
    </fill>
    <fill>
      <patternFill patternType="gray125"/>
    </fill>
    <fill>
      <patternFill patternType="solid">
        <fgColor theme="0"/>
        <bgColor indexed="64"/>
      </patternFill>
    </fill>
    <fill>
      <patternFill patternType="solid">
        <fgColor rgb="FFF0C1AE"/>
        <bgColor indexed="64"/>
      </patternFill>
    </fill>
    <fill>
      <patternFill patternType="solid">
        <fgColor rgb="FFC8AC9C"/>
        <bgColor indexed="64"/>
      </patternFill>
    </fill>
    <fill>
      <patternFill patternType="solid">
        <fgColor rgb="FFAD836B"/>
        <bgColor indexed="64"/>
      </patternFill>
    </fill>
    <fill>
      <patternFill patternType="solid">
        <fgColor theme="9" tint="0.7999816888943144"/>
        <bgColor indexed="64"/>
      </patternFill>
    </fill>
  </fills>
  <borders count="13">
    <border>
      <left/>
      <right/>
      <top/>
      <bottom/>
      <diagonal/>
    </border>
    <border>
      <left style="thin">
        <color rgb="FF613615"/>
      </left>
      <right style="thin">
        <color rgb="FF613615"/>
      </right>
      <top style="thin">
        <color rgb="FF613615"/>
      </top>
      <bottom style="thin">
        <color rgb="FF613615"/>
      </bottom>
      <diagonal/>
    </border>
    <border>
      <left style="thin">
        <color indexed="64"/>
      </left>
      <right/>
      <top style="thin">
        <color indexed="64"/>
      </top>
      <bottom/>
      <diagonal/>
    </border>
    <border>
      <left style="thin">
        <color rgb="FF613615"/>
      </left>
      <right style="thin">
        <color rgb="FF613615"/>
      </right>
      <top/>
      <bottom style="thin">
        <color rgb="FF613615"/>
      </bottom>
      <diagonal/>
    </border>
    <border>
      <left style="thin">
        <color rgb="FF613615"/>
      </left>
      <right style="thin">
        <color rgb="FF613615"/>
      </right>
      <top/>
      <bottom/>
      <diagonal/>
    </border>
    <border>
      <left/>
      <right style="thin">
        <color rgb="FF613615"/>
      </right>
      <top style="thin">
        <color indexed="64"/>
      </top>
      <bottom/>
      <diagonal/>
    </border>
    <border>
      <left style="thin">
        <color rgb="FF613615"/>
      </left>
      <right/>
      <top/>
      <bottom/>
      <diagonal/>
    </border>
    <border>
      <left/>
      <right/>
      <top style="thin">
        <color rgb="FF613615"/>
      </top>
      <bottom/>
      <diagonal/>
    </border>
    <border>
      <left/>
      <right style="thin">
        <color rgb="FF613615"/>
      </right>
      <top style="thin">
        <color rgb="FF613615"/>
      </top>
      <bottom/>
      <diagonal/>
    </border>
    <border>
      <left/>
      <right/>
      <top style="thin">
        <color rgb="FF613615"/>
      </top>
      <bottom style="thin">
        <color rgb="FF613615"/>
      </bottom>
      <diagonal/>
    </border>
    <border>
      <left/>
      <right style="thin">
        <color rgb="FF613615"/>
      </right>
      <top style="thin">
        <color rgb="FF613615"/>
      </top>
      <bottom style="thin">
        <color rgb="FF613615"/>
      </bottom>
      <diagonal/>
    </border>
    <border>
      <left style="thin">
        <color indexed="64"/>
      </left>
      <right style="thin">
        <color rgb="FF613615"/>
      </right>
      <top style="thin">
        <color indexed="64"/>
      </top>
      <bottom/>
      <diagonal/>
    </border>
    <border>
      <left/>
      <right/>
      <top style="thin">
        <color indexed="64"/>
      </top>
      <bottom/>
      <diagonal/>
    </border>
  </borders>
  <cellStyleXfs count="1">
    <xf numFmtId="0" fontId="0" fillId="0" borderId="0"/>
  </cellStyleXfs>
  <cellXfs count="23">
    <xf numFmtId="0" fontId="0" fillId="0" borderId="0" pivotButton="0" quotePrefix="0" xfId="0"/>
    <xf numFmtId="0" fontId="0" fillId="2" borderId="0" pivotButton="0" quotePrefix="0" xfId="0"/>
    <xf numFmtId="0" fontId="2" fillId="2" borderId="0" pivotButton="0" quotePrefix="0" xfId="0"/>
    <xf numFmtId="0" fontId="3" fillId="3" borderId="1" applyAlignment="1" pivotButton="0" quotePrefix="0" xfId="0">
      <alignment horizontal="center" vertical="center"/>
    </xf>
    <xf numFmtId="0" fontId="4" fillId="3" borderId="1" applyAlignment="1" pivotButton="0" quotePrefix="0" xfId="0">
      <alignment horizontal="center" vertical="center" wrapText="1"/>
    </xf>
    <xf numFmtId="0" fontId="1" fillId="5" borderId="2" applyAlignment="1" pivotButton="0" quotePrefix="0" xfId="0">
      <alignment horizontal="center" vertical="center" wrapText="1"/>
    </xf>
    <xf numFmtId="0" fontId="4" fillId="4" borderId="1" applyAlignment="1" pivotButton="0" quotePrefix="0" xfId="0">
      <alignment horizontal="center" vertical="center" wrapText="1"/>
    </xf>
    <xf numFmtId="0" fontId="4" fillId="0" borderId="0" applyAlignment="1" pivotButton="0" quotePrefix="0" xfId="0">
      <alignment horizontal="center" vertical="center" wrapText="1"/>
    </xf>
    <xf numFmtId="0" fontId="4" fillId="0" borderId="4" applyAlignment="1" pivotButton="0" quotePrefix="0" xfId="0">
      <alignment horizontal="center" vertical="center" wrapText="1"/>
    </xf>
    <xf numFmtId="0" fontId="4" fillId="0" borderId="3" applyAlignment="1" pivotButton="0" quotePrefix="0" xfId="0">
      <alignment horizontal="center" vertical="center" wrapText="1"/>
    </xf>
    <xf numFmtId="0" fontId="0" fillId="2" borderId="0" applyAlignment="1" pivotButton="0" quotePrefix="0" xfId="0">
      <alignment horizontal="center" vertical="center"/>
    </xf>
    <xf numFmtId="0" fontId="0" fillId="2" borderId="1" applyAlignment="1" pivotButton="0" quotePrefix="0" xfId="0">
      <alignment horizontal="center" vertical="center" wrapText="1"/>
    </xf>
    <xf numFmtId="0" fontId="0" fillId="6" borderId="1" applyAlignment="1" pivotButton="0" quotePrefix="0" xfId="0">
      <alignment horizontal="center" vertical="center" wrapText="1"/>
    </xf>
    <xf numFmtId="0" fontId="1" fillId="5" borderId="5" applyAlignment="1" pivotButton="0" quotePrefix="0" xfId="0">
      <alignment horizontal="center" vertical="center" wrapText="1"/>
    </xf>
    <xf numFmtId="0" fontId="1" fillId="5" borderId="1" applyAlignment="1" pivotButton="0" quotePrefix="0" xfId="0">
      <alignment horizontal="center" vertical="center" wrapText="1"/>
    </xf>
    <xf numFmtId="0" fontId="0" fillId="2" borderId="1" applyAlignment="1" pivotButton="0" quotePrefix="0" xfId="0">
      <alignment horizontal="left" vertical="center" wrapText="1"/>
    </xf>
    <xf numFmtId="0" fontId="4" fillId="3" borderId="1" applyAlignment="1" pivotButton="0" quotePrefix="0" xfId="0">
      <alignment horizontal="center" vertical="center"/>
    </xf>
    <xf numFmtId="0" fontId="0" fillId="0" borderId="9" pivotButton="0" quotePrefix="0" xfId="0"/>
    <xf numFmtId="0" fontId="0" fillId="0" borderId="10" pivotButton="0" quotePrefix="0" xfId="0"/>
    <xf numFmtId="0" fontId="1" fillId="5" borderId="11" applyAlignment="1" pivotButton="0" quotePrefix="0" xfId="0">
      <alignment horizontal="center" vertical="center" wrapText="1"/>
    </xf>
    <xf numFmtId="0" fontId="0" fillId="0" borderId="5" pivotButton="0" quotePrefix="0" xfId="0"/>
    <xf numFmtId="0" fontId="0" fillId="0" borderId="4" pivotButton="0" quotePrefix="0" xfId="0"/>
    <xf numFmtId="0" fontId="0" fillId="0" borderId="3" pivotButton="0" quotePrefix="0" xfId="0"/>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Q17"/>
  <sheetViews>
    <sheetView tabSelected="1" zoomScaleNormal="100" zoomScaleSheetLayoutView="100" workbookViewId="0">
      <pane xSplit="6" ySplit="5" topLeftCell="G6" activePane="bottomRight" state="frozen"/>
      <selection pane="topRight" activeCell="G1" sqref="G1"/>
      <selection pane="bottomLeft" activeCell="A5" sqref="A5"/>
      <selection pane="bottomRight" activeCell="X23" sqref="X23"/>
    </sheetView>
  </sheetViews>
  <sheetFormatPr baseColWidth="10" defaultRowHeight="15"/>
  <cols>
    <col width="1.42578125" customWidth="1" style="1" min="1" max="1"/>
    <col width="16.42578125" customWidth="1" style="1" min="2" max="2"/>
    <col width="34" bestFit="1" customWidth="1" style="1" min="3" max="3"/>
    <col width="20.85546875" bestFit="1" customWidth="1" style="1" min="4" max="4"/>
    <col width="21.140625" customWidth="1" style="1" min="5" max="5"/>
    <col width="11.85546875" bestFit="1" customWidth="1" style="1" min="6" max="6"/>
    <col width="15.42578125" bestFit="1" customWidth="1" style="1" min="7" max="7"/>
    <col width="5.85546875" bestFit="1" customWidth="1" style="1" min="8" max="8"/>
    <col width="5.42578125" bestFit="1" customWidth="1" style="1" min="9" max="9"/>
    <col width="2.7109375" customWidth="1" style="1" min="10" max="10"/>
    <col width="5.85546875" bestFit="1" customWidth="1" style="1" min="11" max="11"/>
    <col width="5.42578125" bestFit="1" customWidth="1" style="1" min="12" max="12"/>
    <col width="2.7109375" customWidth="1" style="1" min="13" max="13"/>
    <col width="5.85546875" bestFit="1" customWidth="1" style="1" min="14" max="14"/>
    <col width="5.42578125" bestFit="1" customWidth="1" style="1" min="15" max="15"/>
    <col width="2.7109375" customWidth="1" style="1" min="16" max="16"/>
    <col width="5.85546875" bestFit="1" customWidth="1" style="1" min="17" max="17"/>
    <col width="5.42578125" bestFit="1" customWidth="1" style="1" min="18" max="18"/>
    <col width="2.7109375" customWidth="1" style="1" min="19" max="19"/>
    <col width="5.85546875" bestFit="1" customWidth="1" style="1" min="20" max="20"/>
    <col width="5.42578125" bestFit="1" customWidth="1" style="1" min="21" max="21"/>
    <col width="2.7109375" customWidth="1" style="1" min="22" max="22"/>
    <col width="5.85546875" bestFit="1" customWidth="1" style="1" min="23" max="23"/>
    <col width="5.42578125" bestFit="1" customWidth="1" style="1" min="24" max="24"/>
    <col width="2.7109375" customWidth="1" style="1" min="25" max="25"/>
    <col width="5.85546875" bestFit="1" customWidth="1" style="1" min="26" max="26"/>
    <col width="5.42578125" bestFit="1" customWidth="1" style="1" min="27" max="27"/>
    <col width="2.7109375" customWidth="1" style="1" min="28" max="28"/>
    <col width="5.85546875" bestFit="1" customWidth="1" style="1" min="29" max="29"/>
    <col width="5.42578125" bestFit="1" customWidth="1" style="1" min="30" max="30"/>
    <col width="2.7109375" customWidth="1" style="1" min="31" max="31"/>
    <col width="5.85546875" bestFit="1" customWidth="1" style="1" min="32" max="32"/>
    <col width="5.42578125" bestFit="1" customWidth="1" style="1" min="33" max="33"/>
    <col width="2.7109375" customWidth="1" style="1" min="34" max="34"/>
    <col width="5.85546875" bestFit="1" customWidth="1" style="1" min="35" max="35"/>
    <col width="5.42578125" bestFit="1" customWidth="1" style="1" min="36" max="36"/>
    <col width="2.7109375" customWidth="1" style="1" min="37" max="37"/>
    <col width="5.85546875" bestFit="1" customWidth="1" style="1" min="38" max="38"/>
    <col width="5.42578125" bestFit="1" customWidth="1" style="1" min="39" max="39"/>
    <col width="2.7109375" customWidth="1" style="1" min="40" max="40"/>
    <col width="5.85546875" bestFit="1" customWidth="1" style="1" min="41" max="41"/>
    <col width="5.42578125" bestFit="1" customWidth="1" style="1" min="42" max="42"/>
    <col width="2.7109375" customWidth="1" style="1" min="43" max="43"/>
    <col width="5.85546875" bestFit="1" customWidth="1" style="1" min="44" max="44"/>
    <col width="5.42578125" bestFit="1" customWidth="1" style="1" min="45" max="45"/>
    <col width="2.7109375" customWidth="1" style="1" min="46" max="46"/>
    <col width="5.85546875" bestFit="1" customWidth="1" style="1" min="47" max="47"/>
    <col width="5.42578125" bestFit="1" customWidth="1" style="1" min="48" max="48"/>
    <col width="2.7109375" customWidth="1" style="1" min="49" max="49"/>
    <col width="5.85546875" bestFit="1" customWidth="1" style="1" min="50" max="50"/>
    <col width="5.42578125" bestFit="1" customWidth="1" style="1" min="51" max="51"/>
    <col width="2.7109375" customWidth="1" style="1" min="52" max="52"/>
    <col width="5.85546875" bestFit="1" customWidth="1" style="1" min="53" max="53"/>
    <col width="5.42578125" bestFit="1" customWidth="1" style="1" min="54" max="54"/>
    <col width="2.7109375" customWidth="1" style="1" min="55" max="55"/>
    <col width="5.85546875" bestFit="1" customWidth="1" style="1" min="56" max="56"/>
    <col width="5.42578125" bestFit="1" customWidth="1" style="1" min="57" max="57"/>
    <col width="2.7109375" customWidth="1" style="1" min="58" max="58"/>
    <col width="5.85546875" bestFit="1" customWidth="1" style="1" min="59" max="59"/>
    <col width="5.42578125" bestFit="1" customWidth="1" style="1" min="60" max="60"/>
    <col width="2.7109375" customWidth="1" style="1" min="61" max="61"/>
    <col width="5.85546875" bestFit="1" customWidth="1" style="1" min="62" max="62"/>
    <col width="5.42578125" bestFit="1" customWidth="1" style="1" min="63" max="63"/>
    <col width="2.7109375" customWidth="1" style="1" min="64" max="64"/>
    <col width="5.85546875" bestFit="1" customWidth="1" style="1" min="65" max="65"/>
    <col width="5.42578125" bestFit="1" customWidth="1" style="1" min="66" max="66"/>
    <col width="2.7109375" customWidth="1" style="1" min="67" max="67"/>
    <col width="5.85546875" bestFit="1" customWidth="1" style="1" min="68" max="68"/>
    <col width="5.42578125" bestFit="1" customWidth="1" style="1" min="69" max="69"/>
    <col width="11.42578125" customWidth="1" style="1" min="70" max="16384"/>
  </cols>
  <sheetData>
    <row r="2" ht="28.5" customHeight="1">
      <c r="B2" s="3" t="inlineStr">
        <is>
          <t>Metodologías ágiles: Lista de tareas de la iteración (Sprint backlog)</t>
        </is>
      </c>
      <c r="C2" s="17" t="n"/>
      <c r="D2" s="17" t="n"/>
      <c r="E2" s="17" t="n"/>
      <c r="F2" s="17" t="n"/>
      <c r="G2" s="17" t="n"/>
      <c r="H2" s="17" t="n"/>
      <c r="I2" s="17" t="n"/>
      <c r="J2" s="18" t="n"/>
    </row>
    <row r="3" ht="21" customHeight="1">
      <c r="B3" s="2" t="n"/>
    </row>
    <row r="4">
      <c r="B4" s="10" t="n"/>
      <c r="C4" s="10" t="n"/>
      <c r="D4" s="10" t="n"/>
      <c r="E4" s="10" t="n"/>
      <c r="F4" s="10" t="n"/>
      <c r="G4" s="10" t="n"/>
      <c r="H4" s="19" t="inlineStr">
        <is>
          <t>Día 1</t>
        </is>
      </c>
      <c r="I4" s="20" t="n"/>
      <c r="J4" s="7" t="n"/>
      <c r="K4" s="14" t="inlineStr">
        <is>
          <t>Día 2</t>
        </is>
      </c>
      <c r="L4" s="18" t="n"/>
      <c r="M4" s="7" t="n"/>
      <c r="N4" s="14" t="inlineStr">
        <is>
          <t>Día 3</t>
        </is>
      </c>
      <c r="O4" s="18" t="n"/>
      <c r="P4" s="7" t="n"/>
      <c r="Q4" s="14" t="inlineStr">
        <is>
          <t>Día 4</t>
        </is>
      </c>
      <c r="R4" s="18" t="n"/>
      <c r="S4" s="7" t="n"/>
      <c r="T4" s="14" t="inlineStr">
        <is>
          <t>Día 5</t>
        </is>
      </c>
      <c r="U4" s="18" t="n"/>
      <c r="V4" s="9" t="n"/>
      <c r="W4" s="14" t="inlineStr">
        <is>
          <t>Día 6</t>
        </is>
      </c>
      <c r="X4" s="18" t="n"/>
      <c r="Y4" s="7" t="n"/>
      <c r="Z4" s="14" t="inlineStr">
        <is>
          <t>Día 7</t>
        </is>
      </c>
      <c r="AA4" s="18" t="n"/>
      <c r="AB4" s="7" t="n"/>
      <c r="AC4" s="14" t="inlineStr">
        <is>
          <t>Día 8</t>
        </is>
      </c>
      <c r="AD4" s="18" t="n"/>
      <c r="AE4" s="7" t="n"/>
      <c r="AF4" s="14" t="inlineStr">
        <is>
          <t>Día 9</t>
        </is>
      </c>
      <c r="AG4" s="18" t="n"/>
      <c r="AH4" s="7" t="n"/>
      <c r="AI4" s="14" t="inlineStr">
        <is>
          <t>Día 10</t>
        </is>
      </c>
      <c r="AJ4" s="18" t="n"/>
      <c r="AK4" s="7" t="n"/>
      <c r="AL4" s="14" t="inlineStr">
        <is>
          <t>Día 11</t>
        </is>
      </c>
      <c r="AM4" s="18" t="n"/>
      <c r="AN4" s="7" t="n"/>
      <c r="AO4" s="14" t="inlineStr">
        <is>
          <t>Día 12</t>
        </is>
      </c>
      <c r="AP4" s="18" t="n"/>
      <c r="AQ4" s="7" t="n"/>
      <c r="AR4" s="14" t="inlineStr">
        <is>
          <t>Día 13</t>
        </is>
      </c>
      <c r="AS4" s="18" t="n"/>
      <c r="AT4" s="7" t="n"/>
      <c r="AU4" s="14" t="inlineStr">
        <is>
          <t>Día 14</t>
        </is>
      </c>
      <c r="AV4" s="18" t="n"/>
      <c r="AW4" s="7" t="n"/>
      <c r="AX4" s="14" t="inlineStr">
        <is>
          <t>Día 15</t>
        </is>
      </c>
      <c r="AY4" s="18" t="n"/>
      <c r="AZ4" s="7" t="n"/>
      <c r="BA4" s="14" t="inlineStr">
        <is>
          <t>Día 16</t>
        </is>
      </c>
      <c r="BB4" s="18" t="n"/>
      <c r="BC4" s="7" t="n"/>
      <c r="BD4" s="14" t="inlineStr">
        <is>
          <t>Día 17</t>
        </is>
      </c>
      <c r="BE4" s="18" t="n"/>
      <c r="BF4" s="7" t="n"/>
      <c r="BG4" s="14" t="inlineStr">
        <is>
          <t>Día 18</t>
        </is>
      </c>
      <c r="BH4" s="18" t="n"/>
      <c r="BI4" s="7" t="n"/>
      <c r="BJ4" s="14" t="inlineStr">
        <is>
          <t>Día 19</t>
        </is>
      </c>
      <c r="BK4" s="18" t="n"/>
      <c r="BL4" s="7" t="n"/>
      <c r="BM4" s="14" t="inlineStr">
        <is>
          <t>Día 20</t>
        </is>
      </c>
      <c r="BN4" s="18" t="n"/>
      <c r="BO4" s="7" t="n"/>
      <c r="BP4" s="14" t="inlineStr">
        <is>
          <t>Total</t>
        </is>
      </c>
      <c r="BQ4" s="18" t="n"/>
    </row>
    <row r="5" ht="45" customHeight="1">
      <c r="B5" s="4" t="inlineStr">
        <is>
          <t>Identificador (ID) de item de product backlog</t>
        </is>
      </c>
      <c r="C5" s="4" t="inlineStr">
        <is>
          <t>Enunciado del item de Product backlog</t>
        </is>
      </c>
      <c r="D5" s="4" t="inlineStr">
        <is>
          <t>Tarea</t>
        </is>
      </c>
      <c r="E5" s="4" t="inlineStr">
        <is>
          <t>Dueño / Voluntario</t>
        </is>
      </c>
      <c r="F5" s="4" t="inlineStr">
        <is>
          <t>Estatus</t>
        </is>
      </c>
      <c r="G5" s="4" t="inlineStr">
        <is>
          <t>Horas estimadas totales</t>
        </is>
      </c>
      <c r="H5" s="6" t="inlineStr">
        <is>
          <t>Cons.</t>
        </is>
      </c>
      <c r="I5" s="6" t="inlineStr">
        <is>
          <t>Rest.</t>
        </is>
      </c>
      <c r="K5" s="6" t="inlineStr">
        <is>
          <t>Cons.</t>
        </is>
      </c>
      <c r="L5" s="6" t="inlineStr">
        <is>
          <t>Rest.</t>
        </is>
      </c>
      <c r="N5" s="6" t="inlineStr">
        <is>
          <t>Cons.</t>
        </is>
      </c>
      <c r="O5" s="6" t="inlineStr">
        <is>
          <t>Rest.</t>
        </is>
      </c>
      <c r="Q5" s="6" t="inlineStr">
        <is>
          <t>Cons.</t>
        </is>
      </c>
      <c r="R5" s="6" t="inlineStr">
        <is>
          <t>Rest.</t>
        </is>
      </c>
      <c r="T5" s="6" t="inlineStr">
        <is>
          <t>Cons.</t>
        </is>
      </c>
      <c r="U5" s="6" t="inlineStr">
        <is>
          <t>Rest.</t>
        </is>
      </c>
      <c r="V5" s="21" t="n"/>
      <c r="W5" s="6" t="inlineStr">
        <is>
          <t>Cons.</t>
        </is>
      </c>
      <c r="X5" s="6" t="inlineStr">
        <is>
          <t>Rest.</t>
        </is>
      </c>
      <c r="Z5" s="6" t="inlineStr">
        <is>
          <t>Cons.</t>
        </is>
      </c>
      <c r="AA5" s="6" t="inlineStr">
        <is>
          <t>Rest.</t>
        </is>
      </c>
      <c r="AC5" s="6" t="inlineStr">
        <is>
          <t>Cons.</t>
        </is>
      </c>
      <c r="AD5" s="6" t="inlineStr">
        <is>
          <t>Rest.</t>
        </is>
      </c>
      <c r="AF5" s="6" t="inlineStr">
        <is>
          <t>Cons.</t>
        </is>
      </c>
      <c r="AG5" s="6" t="inlineStr">
        <is>
          <t>Rest.</t>
        </is>
      </c>
      <c r="AI5" s="6" t="inlineStr">
        <is>
          <t>Cons.</t>
        </is>
      </c>
      <c r="AJ5" s="6" t="inlineStr">
        <is>
          <t>Rest.</t>
        </is>
      </c>
      <c r="AL5" s="6" t="inlineStr">
        <is>
          <t>Cons.</t>
        </is>
      </c>
      <c r="AM5" s="6" t="inlineStr">
        <is>
          <t>Rest.</t>
        </is>
      </c>
      <c r="AO5" s="6" t="inlineStr">
        <is>
          <t>Cons.</t>
        </is>
      </c>
      <c r="AP5" s="6" t="inlineStr">
        <is>
          <t>Rest.</t>
        </is>
      </c>
      <c r="AR5" s="6" t="inlineStr">
        <is>
          <t>Cons.</t>
        </is>
      </c>
      <c r="AS5" s="6" t="inlineStr">
        <is>
          <t>Rest.</t>
        </is>
      </c>
      <c r="AU5" s="6" t="inlineStr">
        <is>
          <t>Cons.</t>
        </is>
      </c>
      <c r="AV5" s="6" t="inlineStr">
        <is>
          <t>Rest.</t>
        </is>
      </c>
      <c r="AX5" s="6" t="inlineStr">
        <is>
          <t>Cons.</t>
        </is>
      </c>
      <c r="AY5" s="6" t="inlineStr">
        <is>
          <t>Rest.</t>
        </is>
      </c>
      <c r="BA5" s="6" t="inlineStr">
        <is>
          <t>Cons.</t>
        </is>
      </c>
      <c r="BB5" s="6" t="inlineStr">
        <is>
          <t>Rest.</t>
        </is>
      </c>
      <c r="BD5" s="6" t="inlineStr">
        <is>
          <t>Cons.</t>
        </is>
      </c>
      <c r="BE5" s="6" t="inlineStr">
        <is>
          <t>Rest.</t>
        </is>
      </c>
      <c r="BG5" s="6" t="inlineStr">
        <is>
          <t>Cons.</t>
        </is>
      </c>
      <c r="BH5" s="6" t="inlineStr">
        <is>
          <t>Rest.</t>
        </is>
      </c>
      <c r="BJ5" s="6" t="inlineStr">
        <is>
          <t>Cons.</t>
        </is>
      </c>
      <c r="BK5" s="6" t="inlineStr">
        <is>
          <t>Rest.</t>
        </is>
      </c>
      <c r="BM5" s="6" t="inlineStr">
        <is>
          <t>Cons.</t>
        </is>
      </c>
      <c r="BN5" s="6" t="inlineStr">
        <is>
          <t>Rest.</t>
        </is>
      </c>
      <c r="BP5" s="6" t="inlineStr">
        <is>
          <t>Cons.</t>
        </is>
      </c>
      <c r="BQ5" s="6" t="inlineStr">
        <is>
          <t>Rest.</t>
        </is>
      </c>
    </row>
    <row r="6" ht="45" customHeight="1">
      <c r="B6" s="11" t="inlineStr">
        <is>
          <t>NSF-S0-001</t>
        </is>
      </c>
      <c r="C6" s="11" t="inlineStr">
        <is>
          <t>Como Equipo de Scrum, necesito definir los criterios de la Definición de Hecho (DoD), con la finalidad de establecer cuándo una tarea o historia se considera terminada.</t>
        </is>
      </c>
      <c r="D6" s="11" t="inlineStr">
        <is>
          <t>Redactar y acordar los criterios de la Definición de Hecho (DoD)</t>
        </is>
      </c>
      <c r="E6" s="11" t="inlineStr">
        <is>
          <t>Daniela Huaiquiñir</t>
        </is>
      </c>
      <c r="F6" s="11" t="inlineStr">
        <is>
          <t>Hecho</t>
        </is>
      </c>
      <c r="G6" s="11" t="n">
        <v>5</v>
      </c>
      <c r="H6" s="11" t="n">
        <v>2</v>
      </c>
      <c r="I6" s="11">
        <f>G6-H6</f>
        <v/>
      </c>
      <c r="K6" s="11" t="n">
        <v>2</v>
      </c>
      <c r="L6" s="11">
        <f>I6-K6</f>
        <v/>
      </c>
      <c r="N6" s="11" t="n">
        <v>1</v>
      </c>
      <c r="O6" s="11">
        <f>L6-N6</f>
        <v/>
      </c>
      <c r="Q6" s="11" t="n"/>
      <c r="R6" s="11">
        <f>O6-Q6</f>
        <v/>
      </c>
      <c r="T6" s="11" t="n"/>
      <c r="U6" s="11">
        <f>R6-T6</f>
        <v/>
      </c>
      <c r="V6" s="21" t="n"/>
      <c r="W6" s="11" t="n"/>
      <c r="X6" s="11">
        <f>U6-W6</f>
        <v/>
      </c>
      <c r="Z6" s="11" t="n"/>
      <c r="AA6" s="11">
        <f>X6-Z6</f>
        <v/>
      </c>
      <c r="AC6" s="11" t="n"/>
      <c r="AD6" s="11">
        <f>AA6-AC6</f>
        <v/>
      </c>
      <c r="AF6" s="11" t="n"/>
      <c r="AG6" s="11">
        <f>AD6-AF6</f>
        <v/>
      </c>
      <c r="AI6" s="11" t="n"/>
      <c r="AJ6" s="11">
        <f>AG6-AI6</f>
        <v/>
      </c>
      <c r="AL6" s="11" t="n"/>
      <c r="AM6" s="11">
        <f>AJ6-AL6</f>
        <v/>
      </c>
      <c r="AO6" s="11" t="n"/>
      <c r="AP6" s="11">
        <f>AM6-AO6</f>
        <v/>
      </c>
      <c r="AR6" s="11" t="n"/>
      <c r="AS6" s="11">
        <f>AP6-AR6</f>
        <v/>
      </c>
      <c r="AU6" s="11" t="n"/>
      <c r="AV6" s="11">
        <f>AS6-AU6</f>
        <v/>
      </c>
      <c r="AX6" s="11" t="n"/>
      <c r="AY6" s="11">
        <f>AV6-AX6</f>
        <v/>
      </c>
      <c r="BA6" s="11" t="n"/>
      <c r="BB6" s="11">
        <f>AY6-BA6</f>
        <v/>
      </c>
      <c r="BD6" s="11" t="n"/>
      <c r="BE6" s="11">
        <f>BB6-BD6</f>
        <v/>
      </c>
      <c r="BG6" s="11" t="n"/>
      <c r="BH6" s="11">
        <f>BE6-BG6</f>
        <v/>
      </c>
      <c r="BJ6" s="11" t="n"/>
      <c r="BK6" s="11">
        <f>BH6-BJ6</f>
        <v/>
      </c>
      <c r="BM6" s="11" t="n"/>
      <c r="BN6" s="11">
        <f>BK6-BM6</f>
        <v/>
      </c>
      <c r="BP6" s="12">
        <f>H6+K6+N6+Q6+T6+W6+Z6+AC6+AF6+AI6+AL6+AO6+AR6+AU6+AX6+BA6+BD6+BG6+BJ6+BM6</f>
        <v/>
      </c>
      <c r="BQ6" s="12">
        <f>G6-BP6</f>
        <v/>
      </c>
    </row>
    <row r="7">
      <c r="B7" s="11" t="inlineStr">
        <is>
          <t>NSF-S0-002</t>
        </is>
      </c>
      <c r="C7" s="11" t="inlineStr">
        <is>
          <t>Como Scrum Master, necesito configurar y estructurar el Sprint 0, con la finalidad de planificar el arranque técnico del proyecto.</t>
        </is>
      </c>
      <c r="D7" s="11" t="inlineStr">
        <is>
          <t>Definir tareas, estimaciones y responsables del Sprint backlog 0</t>
        </is>
      </c>
      <c r="E7" s="11" t="inlineStr">
        <is>
          <t>Alejandra Garrido</t>
        </is>
      </c>
      <c r="F7" s="11" t="inlineStr">
        <is>
          <t>Hecho</t>
        </is>
      </c>
      <c r="G7" s="11" t="n">
        <v>5</v>
      </c>
      <c r="H7" s="11" t="n">
        <v>3</v>
      </c>
      <c r="I7" s="11">
        <f>G7-H7</f>
        <v/>
      </c>
      <c r="K7" s="11" t="n">
        <v>2</v>
      </c>
      <c r="L7" s="11">
        <f>I7-K7</f>
        <v/>
      </c>
      <c r="N7" s="11" t="n"/>
      <c r="O7" s="11">
        <f>L7-N7</f>
        <v/>
      </c>
      <c r="Q7" s="11" t="n"/>
      <c r="R7" s="11">
        <f>O7-Q7</f>
        <v/>
      </c>
      <c r="T7" s="11" t="n"/>
      <c r="U7" s="11">
        <f>R7-T7</f>
        <v/>
      </c>
      <c r="V7" s="21" t="n"/>
      <c r="W7" s="11" t="n"/>
      <c r="X7" s="11">
        <f>U7-W7</f>
        <v/>
      </c>
      <c r="Z7" s="11" t="n"/>
      <c r="AA7" s="11">
        <f>X7-Z7</f>
        <v/>
      </c>
      <c r="AC7" s="11" t="n"/>
      <c r="AD7" s="11">
        <f>AA7-AC7</f>
        <v/>
      </c>
      <c r="AF7" s="11" t="n"/>
      <c r="AG7" s="11">
        <f>AD7-AF7</f>
        <v/>
      </c>
      <c r="AI7" s="11" t="n"/>
      <c r="AJ7" s="11">
        <f>AG7-AI7</f>
        <v/>
      </c>
      <c r="AL7" s="11" t="n"/>
      <c r="AM7" s="11">
        <f>AJ7-AL7</f>
        <v/>
      </c>
      <c r="AO7" s="11" t="n"/>
      <c r="AP7" s="11">
        <f>AM7-AO7</f>
        <v/>
      </c>
      <c r="AR7" s="11" t="n"/>
      <c r="AS7" s="11">
        <f>AP7-AR7</f>
        <v/>
      </c>
      <c r="AU7" s="11" t="n"/>
      <c r="AV7" s="11">
        <f>AS7-AU7</f>
        <v/>
      </c>
      <c r="AX7" s="11" t="n"/>
      <c r="AY7" s="11">
        <f>AV7-AX7</f>
        <v/>
      </c>
      <c r="BA7" s="11" t="n"/>
      <c r="BB7" s="11">
        <f>AY7-BA7</f>
        <v/>
      </c>
      <c r="BD7" s="11" t="n"/>
      <c r="BE7" s="11">
        <f>BB7-BD7</f>
        <v/>
      </c>
      <c r="BG7" s="11" t="n"/>
      <c r="BH7" s="11">
        <f>BE7-BG7</f>
        <v/>
      </c>
      <c r="BJ7" s="11" t="n"/>
      <c r="BK7" s="11">
        <f>BH7-BJ7</f>
        <v/>
      </c>
      <c r="BM7" s="11" t="n"/>
      <c r="BN7" s="11">
        <f>BK7-BM7</f>
        <v/>
      </c>
      <c r="BP7" s="12">
        <f>H7+K7+N7+Q7+T7+W7+Z7+AC7+AF7+AI7+AL7+AO7+AR7+AU7+AX7+BA7+BD7+BG7+BJ7+BM7</f>
        <v/>
      </c>
      <c r="BQ7" s="12">
        <f>G7-BP7</f>
        <v/>
      </c>
    </row>
    <row r="8">
      <c r="B8" s="11" t="inlineStr">
        <is>
          <t>NSF-S0-003</t>
        </is>
      </c>
      <c r="C8" s="11" t="inlineStr">
        <is>
          <t>Como Desarrollador, necesito configurar el repositorio Git local y el repositorio organizacional en GitHub, con la finalidad de habilitar el control de versiones colaborativo.</t>
        </is>
      </c>
      <c r="D8" s="11" t="inlineStr">
        <is>
          <t>Instalar y configurar Git local y crear el repositorio en GitHub</t>
        </is>
      </c>
      <c r="E8" s="11" t="inlineStr">
        <is>
          <t>Alejandra Garrido</t>
        </is>
      </c>
      <c r="F8" s="11" t="inlineStr">
        <is>
          <t>Hecho</t>
        </is>
      </c>
      <c r="G8" s="11" t="n">
        <v>4</v>
      </c>
      <c r="H8" s="11" t="n"/>
      <c r="I8" s="11">
        <f>G8-H8</f>
        <v/>
      </c>
      <c r="K8" s="11" t="n">
        <v>2</v>
      </c>
      <c r="L8" s="11">
        <f>I8-K8</f>
        <v/>
      </c>
      <c r="N8" s="11" t="n">
        <v>2</v>
      </c>
      <c r="O8" s="11">
        <f>L8-N8</f>
        <v/>
      </c>
      <c r="Q8" s="11" t="n"/>
      <c r="R8" s="11">
        <f>O8-Q8</f>
        <v/>
      </c>
      <c r="T8" s="11" t="n"/>
      <c r="U8" s="11">
        <f>R8-T8</f>
        <v/>
      </c>
      <c r="V8" s="21" t="n"/>
      <c r="W8" s="11" t="n"/>
      <c r="X8" s="11">
        <f>U8-W8</f>
        <v/>
      </c>
      <c r="Z8" s="11" t="n"/>
      <c r="AA8" s="11">
        <f>X8-Z8</f>
        <v/>
      </c>
      <c r="AC8" s="11" t="n"/>
      <c r="AD8" s="11">
        <f>AA8-AC8</f>
        <v/>
      </c>
      <c r="AF8" s="11" t="n"/>
      <c r="AG8" s="11">
        <f>AD8-AF8</f>
        <v/>
      </c>
      <c r="AI8" s="11" t="n"/>
      <c r="AJ8" s="11">
        <f>AG8-AI8</f>
        <v/>
      </c>
      <c r="AL8" s="11" t="n"/>
      <c r="AM8" s="11">
        <f>AJ8-AL8</f>
        <v/>
      </c>
      <c r="AO8" s="11" t="n"/>
      <c r="AP8" s="11">
        <f>AM8-AO8</f>
        <v/>
      </c>
      <c r="AR8" s="11" t="n"/>
      <c r="AS8" s="11">
        <f>AP8-AR8</f>
        <v/>
      </c>
      <c r="AU8" s="11" t="n"/>
      <c r="AV8" s="11">
        <f>AS8-AU8</f>
        <v/>
      </c>
      <c r="AX8" s="11" t="n"/>
      <c r="AY8" s="11">
        <f>AV8-AX8</f>
        <v/>
      </c>
      <c r="BA8" s="11" t="n"/>
      <c r="BB8" s="11">
        <f>AY8-BA8</f>
        <v/>
      </c>
      <c r="BD8" s="11" t="n"/>
      <c r="BE8" s="11">
        <f>BB8-BD8</f>
        <v/>
      </c>
      <c r="BG8" s="11" t="n"/>
      <c r="BH8" s="11">
        <f>BE8-BG8</f>
        <v/>
      </c>
      <c r="BJ8" s="11" t="n"/>
      <c r="BK8" s="11">
        <f>BH8-BJ8</f>
        <v/>
      </c>
      <c r="BM8" s="11" t="n"/>
      <c r="BN8" s="11">
        <f>BK8-BM8</f>
        <v/>
      </c>
      <c r="BP8" s="12">
        <f>H8+K8+N8+Q8+T8+W8+Z8+AC8+AF8+AI8+AL8+AO8+AR8+AU8+AX8+BA8+BD8+BG8+BJ8+BM8</f>
        <v/>
      </c>
      <c r="BQ8" s="12">
        <f>G8-BP8</f>
        <v/>
      </c>
    </row>
    <row r="9">
      <c r="B9" s="11" t="inlineStr">
        <is>
          <t>NSF-S0-003</t>
        </is>
      </c>
      <c r="C9" s="11" t="n"/>
      <c r="D9" s="11" t="inlineStr">
        <is>
          <t>Definir estructura de carpetas, ramas y README.md del repositorio</t>
        </is>
      </c>
      <c r="E9" s="11" t="inlineStr">
        <is>
          <t>Alejandra Garrido</t>
        </is>
      </c>
      <c r="F9" s="11" t="inlineStr">
        <is>
          <t>Hecho</t>
        </is>
      </c>
      <c r="G9" s="11" t="n">
        <v>6</v>
      </c>
      <c r="H9" s="11" t="n"/>
      <c r="I9" s="11">
        <f>G9-H9</f>
        <v/>
      </c>
      <c r="K9" s="11" t="n"/>
      <c r="L9" s="11">
        <f>I9-K9</f>
        <v/>
      </c>
      <c r="N9" s="11" t="n"/>
      <c r="O9" s="11">
        <f>L9-N9</f>
        <v/>
      </c>
      <c r="Q9" s="11" t="n">
        <v>2</v>
      </c>
      <c r="R9" s="11">
        <f>O9-Q9</f>
        <v/>
      </c>
      <c r="T9" s="11" t="n">
        <v>2</v>
      </c>
      <c r="U9" s="11">
        <f>R9-T9</f>
        <v/>
      </c>
      <c r="V9" s="21" t="n"/>
      <c r="W9" s="11" t="n">
        <v>2</v>
      </c>
      <c r="X9" s="11">
        <f>U9-W9</f>
        <v/>
      </c>
      <c r="Z9" s="11" t="n"/>
      <c r="AA9" s="11">
        <f>X9-Z9</f>
        <v/>
      </c>
      <c r="AC9" s="11" t="n"/>
      <c r="AD9" s="11">
        <f>AA9-AC9</f>
        <v/>
      </c>
      <c r="AF9" s="11" t="n"/>
      <c r="AG9" s="11">
        <f>AD9-AF9</f>
        <v/>
      </c>
      <c r="AI9" s="11" t="n"/>
      <c r="AJ9" s="11">
        <f>AG9-AI9</f>
        <v/>
      </c>
      <c r="AL9" s="11" t="n"/>
      <c r="AM9" s="11">
        <f>AJ9-AL9</f>
        <v/>
      </c>
      <c r="AO9" s="11" t="n"/>
      <c r="AP9" s="11">
        <f>AM9-AO9</f>
        <v/>
      </c>
      <c r="AR9" s="11" t="n"/>
      <c r="AS9" s="11">
        <f>AP9-AR9</f>
        <v/>
      </c>
      <c r="AU9" s="11" t="n"/>
      <c r="AV9" s="11">
        <f>AS9-AU9</f>
        <v/>
      </c>
      <c r="AX9" s="11" t="n"/>
      <c r="AY9" s="11">
        <f>AV9-AX9</f>
        <v/>
      </c>
      <c r="BA9" s="11" t="n"/>
      <c r="BB9" s="11">
        <f>AY9-BA9</f>
        <v/>
      </c>
      <c r="BD9" s="11" t="n"/>
      <c r="BE9" s="11">
        <f>BB9-BD9</f>
        <v/>
      </c>
      <c r="BG9" s="11" t="n"/>
      <c r="BH9" s="11">
        <f>BE9-BG9</f>
        <v/>
      </c>
      <c r="BJ9" s="11" t="n"/>
      <c r="BK9" s="11">
        <f>BH9-BJ9</f>
        <v/>
      </c>
      <c r="BM9" s="11" t="n"/>
      <c r="BN9" s="11">
        <f>BK9-BM9</f>
        <v/>
      </c>
      <c r="BP9" s="12">
        <f>H9+K9+N9+Q9+T9+W9+Z9+AC9+AF9+AI9+AL9+AO9+AR9+AU9+AX9+BA9+BD9+BG9+BJ9+BM9</f>
        <v/>
      </c>
      <c r="BQ9" s="12">
        <f>G9-BP9</f>
        <v/>
      </c>
    </row>
    <row r="10" ht="45" customHeight="1">
      <c r="B10" s="11" t="inlineStr">
        <is>
          <t>NSF-S0-004</t>
        </is>
      </c>
      <c r="C10" s="11" t="inlineStr">
        <is>
          <t>Como Arquitecto de Software, necesito definir la documentación de requisitos no funcionales técnicos, con la finalidad de asegurar la escalabilidad y seguridad de la plataforma.</t>
        </is>
      </c>
      <c r="D10" s="11" t="inlineStr">
        <is>
          <t>Documentar requisitos no funcionales de seguridad y rendimiento</t>
        </is>
      </c>
      <c r="E10" s="11" t="inlineStr">
        <is>
          <t>Daniela Huaiquiñir</t>
        </is>
      </c>
      <c r="F10" s="11" t="inlineStr">
        <is>
          <t>Hecho</t>
        </is>
      </c>
      <c r="G10" s="11" t="n">
        <v>5</v>
      </c>
      <c r="H10" s="11" t="n"/>
      <c r="I10" s="11">
        <f>G10-H10</f>
        <v/>
      </c>
      <c r="K10" s="11" t="n"/>
      <c r="L10" s="11">
        <f>I10-K10</f>
        <v/>
      </c>
      <c r="N10" s="11" t="n">
        <v>2</v>
      </c>
      <c r="O10" s="11">
        <f>L10-N10</f>
        <v/>
      </c>
      <c r="Q10" s="11" t="n">
        <v>2</v>
      </c>
      <c r="R10" s="11">
        <f>O10-Q10</f>
        <v/>
      </c>
      <c r="T10" s="11" t="n">
        <v>1</v>
      </c>
      <c r="U10" s="11">
        <f>R10-T10</f>
        <v/>
      </c>
      <c r="V10" s="21" t="n"/>
      <c r="W10" s="11" t="n"/>
      <c r="X10" s="11">
        <f>U10-W10</f>
        <v/>
      </c>
      <c r="Z10" s="11" t="n"/>
      <c r="AA10" s="11">
        <f>X10-Z10</f>
        <v/>
      </c>
      <c r="AC10" s="11" t="n"/>
      <c r="AD10" s="11">
        <f>AA10-AC10</f>
        <v/>
      </c>
      <c r="AF10" s="11" t="n"/>
      <c r="AG10" s="11">
        <f>AD10-AF10</f>
        <v/>
      </c>
      <c r="AI10" s="11" t="n"/>
      <c r="AJ10" s="11">
        <f>AG10-AI10</f>
        <v/>
      </c>
      <c r="AL10" s="11" t="n"/>
      <c r="AM10" s="11">
        <f>AJ10-AL10</f>
        <v/>
      </c>
      <c r="AO10" s="11" t="n"/>
      <c r="AP10" s="11">
        <f>AM10-AO10</f>
        <v/>
      </c>
      <c r="AR10" s="11" t="n"/>
      <c r="AS10" s="11">
        <f>AP10-AR10</f>
        <v/>
      </c>
      <c r="AU10" s="11" t="n"/>
      <c r="AV10" s="11">
        <f>AS10-AU10</f>
        <v/>
      </c>
      <c r="AX10" s="11" t="n"/>
      <c r="AY10" s="11">
        <f>AV10-AX10</f>
        <v/>
      </c>
      <c r="BA10" s="11" t="n"/>
      <c r="BB10" s="11">
        <f>AY10-BA10</f>
        <v/>
      </c>
      <c r="BD10" s="11" t="n"/>
      <c r="BE10" s="11">
        <f>BB10-BD10</f>
        <v/>
      </c>
      <c r="BG10" s="11" t="n"/>
      <c r="BH10" s="11">
        <f>BE10-BG10</f>
        <v/>
      </c>
      <c r="BJ10" s="11" t="n"/>
      <c r="BK10" s="11">
        <f>BH10-BJ10</f>
        <v/>
      </c>
      <c r="BM10" s="11" t="n"/>
      <c r="BN10" s="11">
        <f>BK10-BM10</f>
        <v/>
      </c>
      <c r="BP10" s="12">
        <f>H10+K10+N10+Q10+T10+W10+Z10+AC10+AF10+AI10+AL10+AO10+AR10+AU10+AX10+BA10+BD10+BG10+BJ10+BM10</f>
        <v/>
      </c>
      <c r="BQ10" s="12">
        <f>G10-BP10</f>
        <v/>
      </c>
    </row>
    <row r="11">
      <c r="B11" s="11" t="inlineStr">
        <is>
          <t>NSF-S0-004</t>
        </is>
      </c>
      <c r="C11" s="11" t="n"/>
      <c r="D11" s="11" t="inlineStr">
        <is>
          <t>Documentar requisitos no funcionales de escalabilidad, disponibilidad y portabilidad</t>
        </is>
      </c>
      <c r="E11" s="11" t="inlineStr">
        <is>
          <t>Daniela Huaiquiñir</t>
        </is>
      </c>
      <c r="F11" s="11" t="inlineStr">
        <is>
          <t>Hecho</t>
        </is>
      </c>
      <c r="G11" s="11" t="n">
        <v>5</v>
      </c>
      <c r="H11" s="11" t="n"/>
      <c r="I11" s="11">
        <f>G11-H11</f>
        <v/>
      </c>
      <c r="K11" s="11" t="n"/>
      <c r="L11" s="11">
        <f>I11-K11</f>
        <v/>
      </c>
      <c r="N11" s="11" t="n"/>
      <c r="O11" s="11">
        <f>L11-N11</f>
        <v/>
      </c>
      <c r="Q11" s="11" t="n"/>
      <c r="R11" s="11">
        <f>O11-Q11</f>
        <v/>
      </c>
      <c r="T11" s="11" t="n"/>
      <c r="U11" s="11">
        <f>R11-T11</f>
        <v/>
      </c>
      <c r="V11" s="21" t="n"/>
      <c r="W11" s="11" t="n">
        <v>2</v>
      </c>
      <c r="X11" s="11">
        <f>U11-W11</f>
        <v/>
      </c>
      <c r="Z11" s="11" t="n">
        <v>2</v>
      </c>
      <c r="AA11" s="11">
        <f>X11-Z11</f>
        <v/>
      </c>
      <c r="AC11" s="11" t="n">
        <v>1</v>
      </c>
      <c r="AD11" s="11">
        <f>AA11-AC11</f>
        <v/>
      </c>
      <c r="AF11" s="11" t="n"/>
      <c r="AG11" s="11">
        <f>AD11-AF11</f>
        <v/>
      </c>
      <c r="AI11" s="11" t="n"/>
      <c r="AJ11" s="11">
        <f>AG11-AI11</f>
        <v/>
      </c>
      <c r="AL11" s="11" t="n"/>
      <c r="AM11" s="11">
        <f>AJ11-AL11</f>
        <v/>
      </c>
      <c r="AO11" s="11" t="n"/>
      <c r="AP11" s="11">
        <f>AM11-AO11</f>
        <v/>
      </c>
      <c r="AR11" s="11" t="n"/>
      <c r="AS11" s="11">
        <f>AP11-AR11</f>
        <v/>
      </c>
      <c r="AU11" s="11" t="n"/>
      <c r="AV11" s="11">
        <f>AS11-AU11</f>
        <v/>
      </c>
      <c r="AX11" s="11" t="n"/>
      <c r="AY11" s="11">
        <f>AV11-AX11</f>
        <v/>
      </c>
      <c r="BA11" s="11" t="n"/>
      <c r="BB11" s="11">
        <f>AY11-BA11</f>
        <v/>
      </c>
      <c r="BD11" s="11" t="n"/>
      <c r="BE11" s="11">
        <f>BB11-BD11</f>
        <v/>
      </c>
      <c r="BG11" s="11" t="n"/>
      <c r="BH11" s="11">
        <f>BE11-BG11</f>
        <v/>
      </c>
      <c r="BJ11" s="11" t="n"/>
      <c r="BK11" s="11">
        <f>BH11-BJ11</f>
        <v/>
      </c>
      <c r="BM11" s="11" t="n"/>
      <c r="BN11" s="11">
        <f>BK11-BM11</f>
        <v/>
      </c>
      <c r="BP11" s="12">
        <f>H11+K11+N11+Q11+T11+W11+Z11+AC11+AF11+AI11+AL11+AO11+AR11+AU11+AX11+BA11+BD11+BG11+BJ11+BM11</f>
        <v/>
      </c>
      <c r="BQ11" s="12">
        <f>G11-BP11</f>
        <v/>
      </c>
    </row>
    <row r="12">
      <c r="B12" s="11" t="inlineStr">
        <is>
          <t>NSF-S0-005</t>
        </is>
      </c>
      <c r="C12" s="11" t="inlineStr">
        <is>
          <t>Como Arquitecto de Datos, necesito realizar el modelamiento de datos relacional y construir el Diagrama ER, con la finalidad de estructurar las tablas y relaciones de la base de datos.</t>
        </is>
      </c>
      <c r="D12" s="11" t="inlineStr">
        <is>
          <t>Definir entidades, atributos y relaciones del modelo relacional</t>
        </is>
      </c>
      <c r="E12" s="11" t="inlineStr">
        <is>
          <t>Alejandra Garrido</t>
        </is>
      </c>
      <c r="F12" s="11" t="inlineStr">
        <is>
          <t>Hecho</t>
        </is>
      </c>
      <c r="G12" s="11" t="n">
        <v>6</v>
      </c>
      <c r="H12" s="11" t="n"/>
      <c r="I12" s="11">
        <f>G12-H12</f>
        <v/>
      </c>
      <c r="K12" s="11" t="n"/>
      <c r="L12" s="11">
        <f>I12-K12</f>
        <v/>
      </c>
      <c r="N12" s="11" t="n"/>
      <c r="O12" s="11">
        <f>L12-N12</f>
        <v/>
      </c>
      <c r="Q12" s="11" t="n"/>
      <c r="R12" s="11">
        <f>O12-Q12</f>
        <v/>
      </c>
      <c r="T12" s="11" t="n">
        <v>2</v>
      </c>
      <c r="U12" s="11">
        <f>R12-T12</f>
        <v/>
      </c>
      <c r="V12" s="21" t="n"/>
      <c r="W12" s="11" t="n">
        <v>2</v>
      </c>
      <c r="X12" s="11">
        <f>U12-W12</f>
        <v/>
      </c>
      <c r="Z12" s="11" t="n">
        <v>1</v>
      </c>
      <c r="AA12" s="11">
        <f>X12-Z12</f>
        <v/>
      </c>
      <c r="AC12" s="11" t="n">
        <v>1</v>
      </c>
      <c r="AD12" s="11">
        <f>AA12-AC12</f>
        <v/>
      </c>
      <c r="AF12" s="11" t="n"/>
      <c r="AG12" s="11">
        <f>AD12-AF12</f>
        <v/>
      </c>
      <c r="AI12" s="11" t="n"/>
      <c r="AJ12" s="11">
        <f>AG12-AI12</f>
        <v/>
      </c>
      <c r="AL12" s="11" t="n"/>
      <c r="AM12" s="11">
        <f>AJ12-AL12</f>
        <v/>
      </c>
      <c r="AO12" s="11" t="n"/>
      <c r="AP12" s="11">
        <f>AM12-AO12</f>
        <v/>
      </c>
      <c r="AR12" s="11" t="n"/>
      <c r="AS12" s="11">
        <f>AP12-AR12</f>
        <v/>
      </c>
      <c r="AU12" s="11" t="n"/>
      <c r="AV12" s="11">
        <f>AS12-AU12</f>
        <v/>
      </c>
      <c r="AX12" s="11" t="n"/>
      <c r="AY12" s="11">
        <f>AV12-AX12</f>
        <v/>
      </c>
      <c r="BA12" s="11" t="n"/>
      <c r="BB12" s="11">
        <f>AY12-BA12</f>
        <v/>
      </c>
      <c r="BD12" s="11" t="n"/>
      <c r="BE12" s="11">
        <f>BB12-BD12</f>
        <v/>
      </c>
      <c r="BG12" s="11" t="n"/>
      <c r="BH12" s="11">
        <f>BE12-BG12</f>
        <v/>
      </c>
      <c r="BJ12" s="11" t="n"/>
      <c r="BK12" s="11">
        <f>BH12-BJ12</f>
        <v/>
      </c>
      <c r="BM12" s="11" t="n"/>
      <c r="BN12" s="11">
        <f>BK12-BM12</f>
        <v/>
      </c>
      <c r="BP12" s="12">
        <f>H12+K12+N12+Q12+T12+W12+Z12+AC12+AF12+AI12+AL12+AO12+AR12+AU12+AX12+BA12+BD12+BG12+BJ12+BM12</f>
        <v/>
      </c>
      <c r="BQ12" s="12">
        <f>G12-BP12</f>
        <v/>
      </c>
    </row>
    <row r="13">
      <c r="B13" s="11" t="inlineStr">
        <is>
          <t>NSF-S0-005</t>
        </is>
      </c>
      <c r="C13" s="11" t="n"/>
      <c r="D13" s="11" t="inlineStr">
        <is>
          <t>Construir el Diagrama ER y generar el script SQL</t>
        </is>
      </c>
      <c r="E13" s="11" t="inlineStr">
        <is>
          <t>Alejandra Garrido</t>
        </is>
      </c>
      <c r="F13" s="11" t="inlineStr">
        <is>
          <t>Hecho</t>
        </is>
      </c>
      <c r="G13" s="11" t="n">
        <v>4</v>
      </c>
      <c r="H13" s="11" t="n"/>
      <c r="I13" s="11">
        <f>G13-H13</f>
        <v/>
      </c>
      <c r="K13" s="11" t="n"/>
      <c r="L13" s="11">
        <f>I13-K13</f>
        <v/>
      </c>
      <c r="N13" s="11" t="n"/>
      <c r="O13" s="11">
        <f>L13-N13</f>
        <v/>
      </c>
      <c r="Q13" s="11" t="n"/>
      <c r="R13" s="11">
        <f>O13-Q13</f>
        <v/>
      </c>
      <c r="T13" s="11" t="n"/>
      <c r="U13" s="11">
        <f>R13-T13</f>
        <v/>
      </c>
      <c r="V13" s="21" t="n"/>
      <c r="W13" s="11" t="n"/>
      <c r="X13" s="11">
        <f>U13-W13</f>
        <v/>
      </c>
      <c r="Z13" s="11" t="n"/>
      <c r="AA13" s="11">
        <f>X13-Z13</f>
        <v/>
      </c>
      <c r="AC13" s="11" t="n"/>
      <c r="AD13" s="11">
        <f>AA13-AC13</f>
        <v/>
      </c>
      <c r="AF13" s="11" t="n">
        <v>2</v>
      </c>
      <c r="AG13" s="11">
        <f>AD13-AF13</f>
        <v/>
      </c>
      <c r="AI13" s="11" t="n">
        <v>2</v>
      </c>
      <c r="AJ13" s="11">
        <f>AG13-AI13</f>
        <v/>
      </c>
      <c r="AL13" s="11" t="n"/>
      <c r="AM13" s="11">
        <f>AJ13-AL13</f>
        <v/>
      </c>
      <c r="AO13" s="11" t="n"/>
      <c r="AP13" s="11">
        <f>AM13-AO13</f>
        <v/>
      </c>
      <c r="AR13" s="11" t="n"/>
      <c r="AS13" s="11">
        <f>AP13-AR13</f>
        <v/>
      </c>
      <c r="AU13" s="11" t="n"/>
      <c r="AV13" s="11">
        <f>AS13-AU13</f>
        <v/>
      </c>
      <c r="AX13" s="11" t="n"/>
      <c r="AY13" s="11">
        <f>AV13-AX13</f>
        <v/>
      </c>
      <c r="BA13" s="11" t="n"/>
      <c r="BB13" s="11">
        <f>AY13-BA13</f>
        <v/>
      </c>
      <c r="BD13" s="11" t="n"/>
      <c r="BE13" s="11">
        <f>BB13-BD13</f>
        <v/>
      </c>
      <c r="BG13" s="11" t="n"/>
      <c r="BH13" s="11">
        <f>BE13-BG13</f>
        <v/>
      </c>
      <c r="BJ13" s="11" t="n"/>
      <c r="BK13" s="11">
        <f>BH13-BJ13</f>
        <v/>
      </c>
      <c r="BM13" s="11" t="n"/>
      <c r="BN13" s="11">
        <f>BK13-BM13</f>
        <v/>
      </c>
      <c r="BP13" s="12">
        <f>H13+K13+N13+Q13+T13+W13+Z13+AC13+AF13+AI13+AL13+AO13+AR13+AU13+AX13+BA13+BD13+BG13+BJ13+BM13</f>
        <v/>
      </c>
      <c r="BQ13" s="12">
        <f>G13-BP13</f>
        <v/>
      </c>
    </row>
    <row r="14" ht="45" customHeight="1">
      <c r="B14" s="11" t="inlineStr">
        <is>
          <t>NSF-S0-006</t>
        </is>
      </c>
      <c r="C14" s="11" t="inlineStr">
        <is>
          <t>Como Diseñador de Software, necesito elaborar diagramas UML de clases, secuencia y componentes, con la finalidad de describir la arquitectura orientada a objetos del sistema.</t>
        </is>
      </c>
      <c r="D14" s="11" t="inlineStr">
        <is>
          <t>Elaborar diagramas UML de clases, secuencia y componentes</t>
        </is>
      </c>
      <c r="E14" s="11" t="inlineStr">
        <is>
          <t>Daniela Huaiquiñir</t>
        </is>
      </c>
      <c r="F14" s="11" t="inlineStr">
        <is>
          <t>Hecho</t>
        </is>
      </c>
      <c r="G14" s="11" t="n">
        <v>3</v>
      </c>
      <c r="H14" s="11" t="n"/>
      <c r="I14" s="11">
        <f>G14-H14</f>
        <v/>
      </c>
      <c r="K14" s="11" t="n"/>
      <c r="L14" s="11">
        <f>I14-K14</f>
        <v/>
      </c>
      <c r="N14" s="11" t="n"/>
      <c r="O14" s="11">
        <f>L14-N14</f>
        <v/>
      </c>
      <c r="Q14" s="11" t="n"/>
      <c r="R14" s="11">
        <f>O14-Q14</f>
        <v/>
      </c>
      <c r="T14" s="11" t="n"/>
      <c r="U14" s="11">
        <f>R14-T14</f>
        <v/>
      </c>
      <c r="V14" s="21" t="n"/>
      <c r="W14" s="11" t="n"/>
      <c r="X14" s="11">
        <f>U14-W14</f>
        <v/>
      </c>
      <c r="Z14" s="11" t="n"/>
      <c r="AA14" s="11">
        <f>X14-Z14</f>
        <v/>
      </c>
      <c r="AC14" s="11" t="n"/>
      <c r="AD14" s="11">
        <f>AA14-AC14</f>
        <v/>
      </c>
      <c r="AF14" s="11" t="n"/>
      <c r="AG14" s="11">
        <f>AD14-AF14</f>
        <v/>
      </c>
      <c r="AI14" s="11" t="n"/>
      <c r="AJ14" s="11">
        <f>AG14-AI14</f>
        <v/>
      </c>
      <c r="AL14" s="11" t="n">
        <v>2</v>
      </c>
      <c r="AM14" s="11">
        <f>AJ14-AL14</f>
        <v/>
      </c>
      <c r="AO14" s="11" t="n">
        <v>1</v>
      </c>
      <c r="AP14" s="11">
        <f>AM14-AO14</f>
        <v/>
      </c>
      <c r="AR14" s="11" t="n"/>
      <c r="AS14" s="11">
        <f>AP14-AR14</f>
        <v/>
      </c>
      <c r="AU14" s="11" t="n"/>
      <c r="AV14" s="11">
        <f>AS14-AU14</f>
        <v/>
      </c>
      <c r="AX14" s="11" t="n"/>
      <c r="AY14" s="11">
        <f>AV14-AX14</f>
        <v/>
      </c>
      <c r="BA14" s="11" t="n"/>
      <c r="BB14" s="11">
        <f>AY14-BA14</f>
        <v/>
      </c>
      <c r="BD14" s="11" t="n"/>
      <c r="BE14" s="11">
        <f>BB14-BD14</f>
        <v/>
      </c>
      <c r="BG14" s="11" t="n"/>
      <c r="BH14" s="11">
        <f>BE14-BG14</f>
        <v/>
      </c>
      <c r="BJ14" s="11" t="n"/>
      <c r="BK14" s="11">
        <f>BH14-BJ14</f>
        <v/>
      </c>
      <c r="BM14" s="11" t="n"/>
      <c r="BN14" s="11">
        <f>BK14-BM14</f>
        <v/>
      </c>
      <c r="BP14" s="12">
        <f>H14+K14+N14+Q14+T14+W14+Z14+AC14+AF14+AI14+AL14+AO14+AR14+AU14+AX14+BA14+BD14+BG14+BJ14+BM14</f>
        <v/>
      </c>
      <c r="BQ14" s="12">
        <f>G14-BP14</f>
        <v/>
      </c>
    </row>
    <row r="15">
      <c r="B15" s="11" t="inlineStr">
        <is>
          <t>NSF-S0-007</t>
        </is>
      </c>
      <c r="C15" s="11" t="inlineStr">
        <is>
          <t>Como Arquitecto de Software, necesito redactar el documento de diseño y arquitectura del sistema, con la finalidad de guiar el desarrollo técnico del backend y frontend.</t>
        </is>
      </c>
      <c r="D15" s="11" t="inlineStr">
        <is>
          <t>Redactar documento de diseño y arquitectura (monolito modular)</t>
        </is>
      </c>
      <c r="E15" s="11" t="inlineStr">
        <is>
          <t>Alejandra Garrido</t>
        </is>
      </c>
      <c r="F15" s="11" t="inlineStr">
        <is>
          <t>Hecho</t>
        </is>
      </c>
      <c r="G15" s="11" t="n">
        <v>2</v>
      </c>
      <c r="H15" s="11" t="n"/>
      <c r="I15" s="11">
        <f>G15-H15</f>
        <v/>
      </c>
      <c r="K15" s="11" t="n"/>
      <c r="L15" s="11">
        <f>I15-K15</f>
        <v/>
      </c>
      <c r="N15" s="11" t="n"/>
      <c r="O15" s="11">
        <f>L15-N15</f>
        <v/>
      </c>
      <c r="Q15" s="11" t="n"/>
      <c r="R15" s="11">
        <f>O15-Q15</f>
        <v/>
      </c>
      <c r="T15" s="11" t="n"/>
      <c r="U15" s="11">
        <f>R15-T15</f>
        <v/>
      </c>
      <c r="V15" s="21" t="n"/>
      <c r="W15" s="11" t="n"/>
      <c r="X15" s="11">
        <f>U15-W15</f>
        <v/>
      </c>
      <c r="Z15" s="11" t="n"/>
      <c r="AA15" s="11">
        <f>X15-Z15</f>
        <v/>
      </c>
      <c r="AC15" s="11" t="n"/>
      <c r="AD15" s="11">
        <f>AA15-AC15</f>
        <v/>
      </c>
      <c r="AF15" s="11" t="n"/>
      <c r="AG15" s="11">
        <f>AD15-AF15</f>
        <v/>
      </c>
      <c r="AI15" s="11" t="n"/>
      <c r="AJ15" s="11">
        <f>AG15-AI15</f>
        <v/>
      </c>
      <c r="AL15" s="11" t="n"/>
      <c r="AM15" s="11">
        <f>AJ15-AL15</f>
        <v/>
      </c>
      <c r="AO15" s="11" t="n"/>
      <c r="AP15" s="11">
        <f>AM15-AO15</f>
        <v/>
      </c>
      <c r="AR15" s="11" t="n">
        <v>1</v>
      </c>
      <c r="AS15" s="11">
        <f>AP15-AR15</f>
        <v/>
      </c>
      <c r="AU15" s="11" t="n">
        <v>1</v>
      </c>
      <c r="AV15" s="11">
        <f>AS15-AU15</f>
        <v/>
      </c>
      <c r="AX15" s="11" t="n"/>
      <c r="AY15" s="11">
        <f>AV15-AX15</f>
        <v/>
      </c>
      <c r="BA15" s="11" t="n"/>
      <c r="BB15" s="11">
        <f>AY15-BA15</f>
        <v/>
      </c>
      <c r="BD15" s="11" t="n"/>
      <c r="BE15" s="11">
        <f>BB15-BD15</f>
        <v/>
      </c>
      <c r="BG15" s="11" t="n"/>
      <c r="BH15" s="11">
        <f>BE15-BG15</f>
        <v/>
      </c>
      <c r="BJ15" s="11" t="n"/>
      <c r="BK15" s="11">
        <f>BH15-BJ15</f>
        <v/>
      </c>
      <c r="BM15" s="11" t="n"/>
      <c r="BN15" s="11">
        <f>BK15-BM15</f>
        <v/>
      </c>
      <c r="BP15" s="12">
        <f>H15+K15+N15+Q15+T15+W15+Z15+AC15+AF15+AI15+AL15+AO15+AR15+AU15+AX15+BA15+BD15+BG15+BJ15+BM15</f>
        <v/>
      </c>
      <c r="BQ15" s="12">
        <f>G15-BP15</f>
        <v/>
      </c>
    </row>
    <row r="16">
      <c r="B16" s="11" t="inlineStr">
        <is>
          <t>NSF-S0-008</t>
        </is>
      </c>
      <c r="C16" s="11" t="inlineStr">
        <is>
          <t>Como Diseñador UX/UI, necesito diseñar los mockups de interfaces web para servicios de belleza, con la finalidad de visualizar la experiencia de usuario en la plataforma.</t>
        </is>
      </c>
      <c r="D16" s="11" t="inlineStr">
        <is>
          <t>Diseñar mockups de la plataforma web en Figma</t>
        </is>
      </c>
      <c r="E16" s="11" t="inlineStr">
        <is>
          <t>Daniela Huaiquiñir</t>
        </is>
      </c>
      <c r="F16" s="11" t="inlineStr">
        <is>
          <t>Hecho</t>
        </is>
      </c>
      <c r="G16" s="11" t="n">
        <v>3</v>
      </c>
      <c r="H16" s="11" t="n"/>
      <c r="I16" s="11">
        <f>G16-H16</f>
        <v/>
      </c>
      <c r="K16" s="11" t="n"/>
      <c r="L16" s="11">
        <f>I16-K16</f>
        <v/>
      </c>
      <c r="N16" s="11" t="n"/>
      <c r="O16" s="11">
        <f>L16-N16</f>
        <v/>
      </c>
      <c r="Q16" s="11" t="n"/>
      <c r="R16" s="11">
        <f>O16-Q16</f>
        <v/>
      </c>
      <c r="T16" s="11" t="n"/>
      <c r="U16" s="11">
        <f>R16-T16</f>
        <v/>
      </c>
      <c r="V16" s="21" t="n"/>
      <c r="W16" s="11" t="n"/>
      <c r="X16" s="11">
        <f>U16-W16</f>
        <v/>
      </c>
      <c r="Z16" s="11" t="n"/>
      <c r="AA16" s="11">
        <f>X16-Z16</f>
        <v/>
      </c>
      <c r="AC16" s="11" t="n"/>
      <c r="AD16" s="11">
        <f>AA16-AC16</f>
        <v/>
      </c>
      <c r="AF16" s="11" t="n"/>
      <c r="AG16" s="11">
        <f>AD16-AF16</f>
        <v/>
      </c>
      <c r="AI16" s="11" t="n"/>
      <c r="AJ16" s="11">
        <f>AG16-AI16</f>
        <v/>
      </c>
      <c r="AL16" s="11" t="n"/>
      <c r="AM16" s="11">
        <f>AJ16-AL16</f>
        <v/>
      </c>
      <c r="AO16" s="11" t="n"/>
      <c r="AP16" s="11">
        <f>AM16-AO16</f>
        <v/>
      </c>
      <c r="AR16" s="11" t="n">
        <v>1</v>
      </c>
      <c r="AS16" s="11">
        <f>AP16-AR16</f>
        <v/>
      </c>
      <c r="AU16" s="11" t="n">
        <v>1</v>
      </c>
      <c r="AV16" s="11">
        <f>AS16-AU16</f>
        <v/>
      </c>
      <c r="AX16" s="11" t="n">
        <v>1</v>
      </c>
      <c r="AY16" s="11">
        <f>AV16-AX16</f>
        <v/>
      </c>
      <c r="BA16" s="11" t="n"/>
      <c r="BB16" s="11">
        <f>AY16-BA16</f>
        <v/>
      </c>
      <c r="BD16" s="11" t="n"/>
      <c r="BE16" s="11">
        <f>BB16-BD16</f>
        <v/>
      </c>
      <c r="BG16" s="11" t="n"/>
      <c r="BH16" s="11">
        <f>BE16-BG16</f>
        <v/>
      </c>
      <c r="BJ16" s="11" t="n"/>
      <c r="BK16" s="11">
        <f>BH16-BJ16</f>
        <v/>
      </c>
      <c r="BM16" s="11" t="n"/>
      <c r="BN16" s="11">
        <f>BK16-BM16</f>
        <v/>
      </c>
      <c r="BP16" s="12">
        <f>H16+K16+N16+Q16+T16+W16+Z16+AC16+AF16+AI16+AL16+AO16+AR16+AU16+AX16+BA16+BD16+BG16+BJ16+BM16</f>
        <v/>
      </c>
      <c r="BQ16" s="12">
        <f>G16-BP16</f>
        <v/>
      </c>
    </row>
    <row r="17">
      <c r="B17" s="11" t="inlineStr">
        <is>
          <t>NSF-S0-008</t>
        </is>
      </c>
      <c r="C17" s="11" t="n"/>
      <c r="D17" s="11" t="inlineStr">
        <is>
          <t>Presentar mockups a la contraparte y ajustar según observaciones</t>
        </is>
      </c>
      <c r="E17" s="11" t="inlineStr">
        <is>
          <t>Daniela Huaiquiñir</t>
        </is>
      </c>
      <c r="F17" s="11" t="inlineStr">
        <is>
          <t>Hecho</t>
        </is>
      </c>
      <c r="G17" s="11" t="n">
        <v>2</v>
      </c>
      <c r="H17" s="11" t="n"/>
      <c r="I17" s="11">
        <f>G17-H17</f>
        <v/>
      </c>
      <c r="K17" s="11" t="n"/>
      <c r="L17" s="11">
        <f>I17-K17</f>
        <v/>
      </c>
      <c r="N17" s="11" t="n"/>
      <c r="O17" s="11">
        <f>L17-N17</f>
        <v/>
      </c>
      <c r="Q17" s="11" t="n"/>
      <c r="R17" s="11">
        <f>O17-Q17</f>
        <v/>
      </c>
      <c r="T17" s="11" t="n"/>
      <c r="U17" s="11">
        <f>R17-T17</f>
        <v/>
      </c>
      <c r="V17" s="22" t="n"/>
      <c r="W17" s="11" t="n"/>
      <c r="X17" s="11">
        <f>U17-W17</f>
        <v/>
      </c>
      <c r="Z17" s="11" t="n"/>
      <c r="AA17" s="11">
        <f>X17-Z17</f>
        <v/>
      </c>
      <c r="AC17" s="11" t="n"/>
      <c r="AD17" s="11">
        <f>AA17-AC17</f>
        <v/>
      </c>
      <c r="AF17" s="11" t="n"/>
      <c r="AG17" s="11">
        <f>AD17-AF17</f>
        <v/>
      </c>
      <c r="AI17" s="11" t="n"/>
      <c r="AJ17" s="11">
        <f>AG17-AI17</f>
        <v/>
      </c>
      <c r="AL17" s="11" t="n"/>
      <c r="AM17" s="11">
        <f>AJ17-AL17</f>
        <v/>
      </c>
      <c r="AO17" s="11" t="n"/>
      <c r="AP17" s="11">
        <f>AM17-AO17</f>
        <v/>
      </c>
      <c r="AR17" s="11" t="n"/>
      <c r="AS17" s="11">
        <f>AP17-AR17</f>
        <v/>
      </c>
      <c r="AU17" s="11" t="n"/>
      <c r="AV17" s="11">
        <f>AS17-AU17</f>
        <v/>
      </c>
      <c r="AX17" s="11" t="n"/>
      <c r="AY17" s="11">
        <f>AV17-AX17</f>
        <v/>
      </c>
      <c r="BA17" s="11" t="n">
        <v>1</v>
      </c>
      <c r="BB17" s="11">
        <f>AY17-BA17</f>
        <v/>
      </c>
      <c r="BD17" s="11" t="n">
        <v>1</v>
      </c>
      <c r="BE17" s="11">
        <f>BB17-BD17</f>
        <v/>
      </c>
      <c r="BG17" s="11" t="n"/>
      <c r="BH17" s="11">
        <f>BE17-BG17</f>
        <v/>
      </c>
      <c r="BJ17" s="11" t="n"/>
      <c r="BK17" s="11">
        <f>BH17-BJ17</f>
        <v/>
      </c>
      <c r="BM17" s="11" t="n"/>
      <c r="BN17" s="11">
        <f>BK17-BM17</f>
        <v/>
      </c>
      <c r="BP17" s="12">
        <f>H17+K17+N17+Q17+T17+W17+Z17+AC17+AF17+AI17+AL17+AO17+AR17+AU17+AX17+BA17+BD17+BG17+BJ17+BM17</f>
        <v/>
      </c>
      <c r="BQ17" s="12">
        <f>G17-BP17</f>
        <v/>
      </c>
    </row>
  </sheetData>
  <mergeCells count="42">
    <mergeCell ref="W4:X4"/>
    <mergeCell ref="AX4:AY4"/>
    <mergeCell ref="BL4:BL17"/>
    <mergeCell ref="BJ4:BK4"/>
    <mergeCell ref="AQ4:AQ17"/>
    <mergeCell ref="BC4:BC17"/>
    <mergeCell ref="BI4:BI17"/>
    <mergeCell ref="H4:I4"/>
    <mergeCell ref="S4:S17"/>
    <mergeCell ref="B2:J2"/>
    <mergeCell ref="BO4:BO17"/>
    <mergeCell ref="AU4:AV4"/>
    <mergeCell ref="T4:U4"/>
    <mergeCell ref="AF4:AG4"/>
    <mergeCell ref="BP4:BQ4"/>
    <mergeCell ref="M4:M17"/>
    <mergeCell ref="BG4:BH4"/>
    <mergeCell ref="Y4:Y17"/>
    <mergeCell ref="AE4:AE17"/>
    <mergeCell ref="P4:P17"/>
    <mergeCell ref="AR4:AS4"/>
    <mergeCell ref="Q4:R4"/>
    <mergeCell ref="AC4:AD4"/>
    <mergeCell ref="AI4:AJ4"/>
    <mergeCell ref="BD4:BE4"/>
    <mergeCell ref="AK4:AK17"/>
    <mergeCell ref="V4:V17"/>
    <mergeCell ref="AB4:AB17"/>
    <mergeCell ref="AN4:AN17"/>
    <mergeCell ref="AH4:AH17"/>
    <mergeCell ref="AO4:AP4"/>
    <mergeCell ref="BA4:BB4"/>
    <mergeCell ref="Z4:AA4"/>
    <mergeCell ref="AW4:AW17"/>
    <mergeCell ref="AL4:AM4"/>
    <mergeCell ref="BM4:BN4"/>
    <mergeCell ref="AZ4:AZ17"/>
    <mergeCell ref="J4:J17"/>
    <mergeCell ref="AT4:AT17"/>
    <mergeCell ref="BF4:BF17"/>
    <mergeCell ref="K4:L4"/>
    <mergeCell ref="N4:O4"/>
  </mergeCells>
  <pageMargins left="0.6299212598425197" right="0.6299212598425197" top="0.7480314960629921" bottom="0.7480314960629921" header="0.3149606299212598" footer="0.3149606299212598"/>
  <pageSetup orientation="landscape" scale="69"/>
  <colBreaks count="4" manualBreakCount="4">
    <brk id="21" min="0" max="18" man="1"/>
    <brk id="36" min="0" max="18" man="1"/>
    <brk id="52" min="0" max="18" man="1"/>
    <brk id="69" min="0" max="18" man="1"/>
  </colBreaks>
</worksheet>
</file>

<file path=xl/worksheets/sheet2.xml><?xml version="1.0" encoding="utf-8"?>
<worksheet xmlns="http://schemas.openxmlformats.org/spreadsheetml/2006/main">
  <sheetPr>
    <outlinePr summaryBelow="1" summaryRight="1"/>
    <pageSetUpPr/>
  </sheetPr>
  <dimension ref="B2:C14"/>
  <sheetViews>
    <sheetView view="pageBreakPreview" zoomScaleSheetLayoutView="100" workbookViewId="0">
      <selection activeCell="H5" sqref="H5"/>
    </sheetView>
  </sheetViews>
  <sheetFormatPr baseColWidth="10" defaultRowHeight="15"/>
  <cols>
    <col width="1.5703125" customWidth="1" style="1" min="1" max="1"/>
    <col width="21.5703125" customWidth="1" style="1" min="2" max="2"/>
    <col width="86" customWidth="1" style="1" min="3" max="3"/>
    <col width="2.85546875" customWidth="1" style="1" min="4" max="4"/>
    <col width="11.42578125" customWidth="1" style="1" min="5" max="16384"/>
  </cols>
  <sheetData>
    <row r="2" ht="28.5" customHeight="1">
      <c r="B2" s="3" t="inlineStr">
        <is>
          <t>Lista de tareas de la iteración (Product Backlog): Instructivo</t>
        </is>
      </c>
      <c r="C2" s="18" t="n"/>
    </row>
    <row r="4">
      <c r="B4" s="16" t="inlineStr">
        <is>
          <t>Columna</t>
        </is>
      </c>
      <c r="C4" s="16" t="inlineStr">
        <is>
          <t>Instrucciones</t>
        </is>
      </c>
    </row>
    <row r="5" ht="30" customHeight="1">
      <c r="B5" s="11">
        <f>'Historias de usuario'!B5</f>
        <v/>
      </c>
      <c r="C5" s="15" t="inlineStr">
        <is>
          <t>Código que hace referencia al elemento de la pila de producto (Product Backlog) al cual la tarea de la iteración hace referencia.</t>
        </is>
      </c>
    </row>
    <row r="6" ht="45" customHeight="1">
      <c r="B6" s="11">
        <f>'Historias de usuario'!C5</f>
        <v/>
      </c>
      <c r="C6" s="15" t="inlineStr">
        <is>
          <t>Enunciado o nombre del elemento de pila de producto (Product Backlog). En la mayoría de los casos, el nombre asignado al elemento de product backlog es el mismo de la historia de usuario.</t>
        </is>
      </c>
    </row>
    <row r="7" ht="60" customHeight="1">
      <c r="B7" s="11" t="inlineStr">
        <is>
          <t>Tarea</t>
        </is>
      </c>
      <c r="C7" s="15" t="inlineStr">
        <is>
          <t>Nombre de la tarea de iteración (Sprint) especificada en esta línea, representa el elemento mínimo que se planifica. Para completar un elemento de product backlog / historia se necesitaran ejecutar varias tareas, por ejemplo: Diseñar pantalla, vincular campos con la base de datos, definir procesos, configurar conexiones con interfaces o base de datos, entre otros.</t>
        </is>
      </c>
    </row>
    <row r="8" ht="75" customHeight="1">
      <c r="B8" s="11" t="inlineStr">
        <is>
          <t>Dueño / Voluntario</t>
        </is>
      </c>
      <c r="C8" s="15" t="inlineStr">
        <is>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is>
      </c>
    </row>
    <row r="9" ht="60" customHeight="1">
      <c r="B9" s="11" t="inlineStr">
        <is>
          <t>Estatus</t>
        </is>
      </c>
      <c r="C9" s="15" t="inlineStr">
        <is>
          <t>Estado actual de la tarea. Los tipos de estatus son decididos por el equipo y Scrum Master. Por ejemplo, una clasificación de estatus podría ser: Por iniciar, en proceso y hecho (completado). La clasificación de estatus también se puede vincular con las columnas que se reflejan en un tablero Kanban.</t>
        </is>
      </c>
    </row>
    <row r="10" ht="45" customHeight="1">
      <c r="B10" s="11" t="inlineStr">
        <is>
          <t>Horas estimadas totales</t>
        </is>
      </c>
      <c r="C10" s="15" t="inlineStr">
        <is>
          <t>Horas que han sido estimadas por el equipo Scrum que serán necesarias para ejecutar la tarea. La asignación de estimados se realiza durante la reunión de planificación de la iteración (Sprint Planning Meeting).</t>
        </is>
      </c>
    </row>
    <row r="11" ht="30" customHeight="1">
      <c r="B11" s="11" t="inlineStr">
        <is>
          <t>Día 1 …. Día n</t>
        </is>
      </c>
      <c r="C11" s="15" t="inlineStr">
        <is>
          <t>Una vez comienza a ejecutarse la iteración, se utilizan las columnas para llevar un registro de las horas que se han consumido en cada tarea y cuantas horas restan para completarla.</t>
        </is>
      </c>
    </row>
    <row r="12">
      <c r="B12" s="11" t="inlineStr">
        <is>
          <t>Cons.</t>
        </is>
      </c>
      <c r="C12" s="15" t="inlineStr">
        <is>
          <t>Horas consumidas en la tarea en el día especificado.</t>
        </is>
      </c>
    </row>
    <row r="13" ht="45" customHeight="1">
      <c r="B13" s="11" t="inlineStr">
        <is>
          <t>Rest.</t>
        </is>
      </c>
      <c r="C13" s="15" t="inlineStr">
        <is>
          <t>Horas que restan luego de registrarse el consumo diario. Se calcula tomando las horas que restaban el día anterior y se resta las horas consumidas en el día. Si se trata del primer día, se restan las horas del día 1 al estimado de horas totales.</t>
        </is>
      </c>
    </row>
    <row r="14" ht="30" customHeight="1">
      <c r="B14" s="11" t="inlineStr">
        <is>
          <t>Total</t>
        </is>
      </c>
      <c r="C14" s="15" t="inlineStr">
        <is>
          <t>Registra la suma de todas las horas consumidas en el Sprint y las horas que restan finalmente. Las horas restantes deberían ser de cero si se logro ejecutar la tarea en su totalidad.</t>
        </is>
      </c>
    </row>
  </sheetData>
  <mergeCells count="1">
    <mergeCell ref="B2:C2"/>
  </mergeCells>
  <pageMargins left="0.7" right="0.7" top="0.75" bottom="0.75" header="0.3" footer="0.3"/>
  <pageSetup orientation="portrait" paperSize="9" scale="68"/>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dc:creator>
  <dcterms:created xmlns:dcterms="http://purl.org/dc/terms/" xmlns:xsi="http://www.w3.org/2001/XMLSchema-instance" xsi:type="dcterms:W3CDTF">2012-09-02T03:53:17Z</dcterms:created>
  <dcterms:modified xmlns:dcterms="http://purl.org/dc/terms/" xmlns:xsi="http://www.w3.org/2001/XMLSchema-instance" xsi:type="dcterms:W3CDTF">2026-10-15T20:35:22Z</dcterms:modified>
  <cp:lastModifiedBy>Danny</cp:lastModifiedBy>
  <cp:lastPrinted>2016-11-01T15:27:35Z</cp:lastPrinted>
</cp:coreProperties>
</file>