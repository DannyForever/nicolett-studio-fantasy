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Titles" localSheetId="0">'Historias de usuario'!$2:$5,'Historias de usuario'!$B:$F</definedName>
    <definedName name="_xlnm.Print_Area" localSheetId="0">'Historias de usuario'!$A$1:$BR$24</definedName>
    <definedName name="_xlnm.Print_Area" localSheetId="1">'Instructivo'!$A$1:$D$15</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0"/>
      <sz val="11"/>
      <scheme val="minor"/>
    </font>
    <font>
      <name val="Calibri"/>
      <family val="2"/>
      <b val="1"/>
      <color theme="3"/>
      <sz val="16"/>
      <scheme val="minor"/>
    </font>
    <font>
      <name val="Calibri"/>
      <family val="2"/>
      <b val="1"/>
      <color rgb="FF613615"/>
      <sz val="22"/>
      <scheme val="minor"/>
    </font>
    <font>
      <name val="Calibri"/>
      <family val="2"/>
      <color rgb="FF613615"/>
      <sz val="11"/>
      <scheme val="minor"/>
    </font>
  </fonts>
  <fills count="7">
    <fill>
      <patternFill/>
    </fill>
    <fill>
      <patternFill patternType="gray125"/>
    </fill>
    <fill>
      <patternFill patternType="solid">
        <fgColor theme="0"/>
        <bgColor indexed="64"/>
      </patternFill>
    </fill>
    <fill>
      <patternFill patternType="solid">
        <fgColor rgb="FFF0C1AE"/>
        <bgColor indexed="64"/>
      </patternFill>
    </fill>
    <fill>
      <patternFill patternType="solid">
        <fgColor rgb="FFC8AC9C"/>
        <bgColor indexed="64"/>
      </patternFill>
    </fill>
    <fill>
      <patternFill patternType="solid">
        <fgColor rgb="FFAD836B"/>
        <bgColor indexed="64"/>
      </patternFill>
    </fill>
    <fill>
      <patternFill patternType="solid">
        <fgColor theme="9" tint="0.7999816888943144"/>
        <bgColor indexed="64"/>
      </patternFill>
    </fill>
  </fills>
  <borders count="13">
    <border>
      <left/>
      <right/>
      <top/>
      <bottom/>
      <diagonal/>
    </border>
    <border>
      <left style="thin">
        <color rgb="FF613615"/>
      </left>
      <right style="thin">
        <color rgb="FF613615"/>
      </right>
      <top style="thin">
        <color rgb="FF613615"/>
      </top>
      <bottom style="thin">
        <color rgb="FF613615"/>
      </bottom>
      <diagonal/>
    </border>
    <border>
      <left style="thin">
        <color indexed="64"/>
      </left>
      <right/>
      <top style="thin">
        <color indexed="64"/>
      </top>
      <bottom/>
      <diagonal/>
    </border>
    <border>
      <left style="thin">
        <color rgb="FF613615"/>
      </left>
      <right style="thin">
        <color rgb="FF613615"/>
      </right>
      <top/>
      <bottom style="thin">
        <color rgb="FF613615"/>
      </bottom>
      <diagonal/>
    </border>
    <border>
      <left style="thin">
        <color rgb="FF613615"/>
      </left>
      <right style="thin">
        <color rgb="FF613615"/>
      </right>
      <top/>
      <bottom/>
      <diagonal/>
    </border>
    <border>
      <left/>
      <right style="thin">
        <color rgb="FF613615"/>
      </right>
      <top style="thin">
        <color indexed="64"/>
      </top>
      <bottom/>
      <diagonal/>
    </border>
    <border>
      <left style="thin">
        <color rgb="FF613615"/>
      </left>
      <right/>
      <top/>
      <bottom/>
      <diagonal/>
    </border>
    <border>
      <left/>
      <right/>
      <top style="thin">
        <color rgb="FF613615"/>
      </top>
      <bottom/>
      <diagonal/>
    </border>
    <border>
      <left/>
      <right style="thin">
        <color rgb="FF613615"/>
      </right>
      <top style="thin">
        <color rgb="FF613615"/>
      </top>
      <bottom/>
      <diagonal/>
    </border>
    <border>
      <left/>
      <right/>
      <top style="thin">
        <color rgb="FF613615"/>
      </top>
      <bottom style="thin">
        <color rgb="FF613615"/>
      </bottom>
      <diagonal/>
    </border>
    <border>
      <left/>
      <right style="thin">
        <color rgb="FF613615"/>
      </right>
      <top style="thin">
        <color rgb="FF613615"/>
      </top>
      <bottom style="thin">
        <color rgb="FF613615"/>
      </bottom>
      <diagonal/>
    </border>
    <border>
      <left style="thin">
        <color indexed="64"/>
      </left>
      <right style="thin">
        <color rgb="FF613615"/>
      </right>
      <top style="thin">
        <color indexed="64"/>
      </top>
      <bottom/>
      <diagonal/>
    </border>
    <border>
      <left/>
      <right/>
      <top style="thin">
        <color indexed="64"/>
      </top>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2" fillId="2" borderId="0" pivotButton="0" quotePrefix="0" xfId="0"/>
    <xf numFmtId="0" fontId="3" fillId="3" borderId="1" applyAlignment="1" pivotButton="0" quotePrefix="0" xfId="0">
      <alignment horizontal="center" vertical="center"/>
    </xf>
    <xf numFmtId="0" fontId="4" fillId="3" borderId="1" applyAlignment="1" pivotButton="0" quotePrefix="0" xfId="0">
      <alignment horizontal="center" vertical="center" wrapText="1"/>
    </xf>
    <xf numFmtId="0" fontId="1" fillId="5" borderId="2"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3" applyAlignment="1" pivotButton="0" quotePrefix="0" xfId="0">
      <alignment horizontal="center" vertical="center" wrapText="1"/>
    </xf>
    <xf numFmtId="0" fontId="0" fillId="2" borderId="0" applyAlignment="1" pivotButton="0" quotePrefix="0" xfId="0">
      <alignment horizontal="center" vertical="center"/>
    </xf>
    <xf numFmtId="0" fontId="0" fillId="2" borderId="1" applyAlignment="1" pivotButton="0" quotePrefix="0" xfId="0">
      <alignment horizontal="center" vertical="center" wrapText="1"/>
    </xf>
    <xf numFmtId="0" fontId="0" fillId="6" borderId="1" applyAlignment="1" pivotButton="0" quotePrefix="0" xfId="0">
      <alignment horizontal="center" vertical="center" wrapText="1"/>
    </xf>
    <xf numFmtId="0" fontId="1" fillId="5" borderId="5" applyAlignment="1" pivotButton="0" quotePrefix="0" xfId="0">
      <alignment horizontal="center" vertical="center" wrapText="1"/>
    </xf>
    <xf numFmtId="0" fontId="1" fillId="5"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center" vertical="center"/>
    </xf>
    <xf numFmtId="0" fontId="0" fillId="0" borderId="9" pivotButton="0" quotePrefix="0" xfId="0"/>
    <xf numFmtId="0" fontId="0" fillId="0" borderId="10" pivotButton="0" quotePrefix="0" xfId="0"/>
    <xf numFmtId="0" fontId="1" fillId="5" borderId="11"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3"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Q22"/>
  <sheetViews>
    <sheetView tabSelected="1" zoomScaleNormal="100" zoomScaleSheetLayoutView="100" workbookViewId="0">
      <pane xSplit="6" ySplit="5" topLeftCell="G6" activePane="bottomRight" state="frozen"/>
      <selection pane="topRight" activeCell="G1" sqref="G1"/>
      <selection pane="bottomLeft" activeCell="A5" sqref="A5"/>
      <selection pane="bottomRight" activeCell="X23" sqref="X23"/>
    </sheetView>
  </sheetViews>
  <sheetFormatPr baseColWidth="10" defaultRowHeight="15"/>
  <cols>
    <col width="1.42578125" customWidth="1" style="1" min="1" max="1"/>
    <col width="16.42578125" customWidth="1" style="1" min="2" max="2"/>
    <col width="34" bestFit="1" customWidth="1" style="1" min="3" max="3"/>
    <col width="20.85546875" bestFit="1" customWidth="1" style="1" min="4" max="4"/>
    <col width="21.140625" customWidth="1" style="1" min="5" max="5"/>
    <col width="11.85546875" bestFit="1" customWidth="1" style="1" min="6" max="6"/>
    <col width="15.42578125" bestFit="1" customWidth="1" style="1" min="7" max="7"/>
    <col width="5.85546875" bestFit="1" customWidth="1" style="1" min="8" max="8"/>
    <col width="5.42578125" bestFit="1" customWidth="1" style="1" min="9" max="9"/>
    <col width="2.7109375" customWidth="1" style="1" min="10" max="10"/>
    <col width="5.85546875" bestFit="1" customWidth="1" style="1" min="11" max="11"/>
    <col width="5.42578125" bestFit="1" customWidth="1" style="1" min="12" max="12"/>
    <col width="2.7109375" customWidth="1" style="1" min="13" max="13"/>
    <col width="5.85546875" bestFit="1" customWidth="1" style="1" min="14" max="14"/>
    <col width="5.42578125" bestFit="1" customWidth="1" style="1" min="15" max="15"/>
    <col width="2.7109375" customWidth="1" style="1" min="16" max="16"/>
    <col width="5.85546875" bestFit="1" customWidth="1" style="1" min="17" max="17"/>
    <col width="5.42578125" bestFit="1" customWidth="1" style="1" min="18" max="18"/>
    <col width="2.7109375" customWidth="1" style="1" min="19" max="19"/>
    <col width="5.85546875" bestFit="1" customWidth="1" style="1" min="20" max="20"/>
    <col width="5.42578125" bestFit="1" customWidth="1" style="1" min="21" max="21"/>
    <col width="2.7109375" customWidth="1" style="1" min="22" max="22"/>
    <col width="5.85546875" bestFit="1" customWidth="1" style="1" min="23" max="23"/>
    <col width="5.42578125" bestFit="1" customWidth="1" style="1" min="24" max="24"/>
    <col width="2.7109375" customWidth="1" style="1" min="25" max="25"/>
    <col width="5.85546875" bestFit="1" customWidth="1" style="1" min="26" max="26"/>
    <col width="5.42578125" bestFit="1" customWidth="1" style="1" min="27" max="27"/>
    <col width="2.7109375" customWidth="1" style="1" min="28" max="28"/>
    <col width="5.85546875" bestFit="1" customWidth="1" style="1" min="29" max="29"/>
    <col width="5.42578125" bestFit="1" customWidth="1" style="1" min="30" max="30"/>
    <col width="2.7109375" customWidth="1" style="1" min="31" max="31"/>
    <col width="5.85546875" bestFit="1" customWidth="1" style="1" min="32" max="32"/>
    <col width="5.42578125" bestFit="1" customWidth="1" style="1" min="33" max="33"/>
    <col width="2.7109375" customWidth="1" style="1" min="34" max="34"/>
    <col width="5.85546875" bestFit="1" customWidth="1" style="1" min="35" max="35"/>
    <col width="5.42578125" bestFit="1" customWidth="1" style="1" min="36" max="36"/>
    <col width="2.7109375" customWidth="1" style="1" min="37" max="37"/>
    <col width="5.85546875" bestFit="1" customWidth="1" style="1" min="38" max="38"/>
    <col width="5.42578125" bestFit="1" customWidth="1" style="1" min="39" max="39"/>
    <col width="2.7109375" customWidth="1" style="1" min="40" max="40"/>
    <col width="5.85546875" bestFit="1" customWidth="1" style="1" min="41" max="41"/>
    <col width="5.42578125" bestFit="1" customWidth="1" style="1" min="42" max="42"/>
    <col width="2.7109375" customWidth="1" style="1" min="43" max="43"/>
    <col width="5.85546875" bestFit="1" customWidth="1" style="1" min="44" max="44"/>
    <col width="5.42578125" bestFit="1" customWidth="1" style="1" min="45" max="45"/>
    <col width="2.7109375" customWidth="1" style="1" min="46" max="46"/>
    <col width="5.85546875" bestFit="1" customWidth="1" style="1" min="47" max="47"/>
    <col width="5.42578125" bestFit="1" customWidth="1" style="1" min="48" max="48"/>
    <col width="2.7109375" customWidth="1" style="1" min="49" max="49"/>
    <col width="5.85546875" bestFit="1" customWidth="1" style="1" min="50" max="50"/>
    <col width="5.42578125" bestFit="1" customWidth="1" style="1" min="51" max="51"/>
    <col width="2.7109375" customWidth="1" style="1" min="52" max="52"/>
    <col width="5.85546875" bestFit="1" customWidth="1" style="1" min="53" max="53"/>
    <col width="5.42578125" bestFit="1" customWidth="1" style="1" min="54" max="54"/>
    <col width="2.7109375" customWidth="1" style="1" min="55" max="55"/>
    <col width="5.85546875" bestFit="1" customWidth="1" style="1" min="56" max="56"/>
    <col width="5.42578125" bestFit="1" customWidth="1" style="1" min="57" max="57"/>
    <col width="2.7109375" customWidth="1" style="1" min="58" max="58"/>
    <col width="5.85546875" bestFit="1" customWidth="1" style="1" min="59" max="59"/>
    <col width="5.42578125" bestFit="1" customWidth="1" style="1" min="60" max="60"/>
    <col width="2.7109375" customWidth="1" style="1" min="61" max="61"/>
    <col width="5.85546875" bestFit="1" customWidth="1" style="1" min="62" max="62"/>
    <col width="5.42578125" bestFit="1" customWidth="1" style="1" min="63" max="63"/>
    <col width="2.7109375" customWidth="1" style="1" min="64" max="64"/>
    <col width="5.85546875" bestFit="1" customWidth="1" style="1" min="65" max="65"/>
    <col width="5.42578125" bestFit="1" customWidth="1" style="1" min="66" max="66"/>
    <col width="2.7109375" customWidth="1" style="1" min="67" max="67"/>
    <col width="5.85546875" bestFit="1" customWidth="1" style="1" min="68" max="68"/>
    <col width="5.42578125" bestFit="1" customWidth="1" style="1" min="69" max="69"/>
    <col width="11.42578125" customWidth="1" style="1" min="70" max="16384"/>
  </cols>
  <sheetData>
    <row r="2" ht="28.5" customHeight="1">
      <c r="B2" s="3" t="inlineStr">
        <is>
          <t>Metodologías ágiles: Lista de tareas de la iteración (Sprint backlog)</t>
        </is>
      </c>
      <c r="C2" s="17" t="n"/>
      <c r="D2" s="17" t="n"/>
      <c r="E2" s="17" t="n"/>
      <c r="F2" s="17" t="n"/>
      <c r="G2" s="17" t="n"/>
      <c r="H2" s="17" t="n"/>
      <c r="I2" s="17" t="n"/>
      <c r="J2" s="18" t="n"/>
    </row>
    <row r="3" ht="21" customHeight="1">
      <c r="B3" s="2" t="n"/>
    </row>
    <row r="4">
      <c r="B4" s="10" t="n"/>
      <c r="C4" s="10" t="n"/>
      <c r="D4" s="10" t="n"/>
      <c r="E4" s="10" t="n"/>
      <c r="F4" s="10" t="n"/>
      <c r="G4" s="10" t="n"/>
      <c r="H4" s="19" t="inlineStr">
        <is>
          <t>Día 1</t>
        </is>
      </c>
      <c r="I4" s="20" t="n"/>
      <c r="J4" s="7" t="n"/>
      <c r="K4" s="14" t="inlineStr">
        <is>
          <t>Día 2</t>
        </is>
      </c>
      <c r="L4" s="18" t="n"/>
      <c r="M4" s="7" t="n"/>
      <c r="N4" s="14" t="inlineStr">
        <is>
          <t>Día 3</t>
        </is>
      </c>
      <c r="O4" s="18" t="n"/>
      <c r="P4" s="7" t="n"/>
      <c r="Q4" s="14" t="inlineStr">
        <is>
          <t>Día 4</t>
        </is>
      </c>
      <c r="R4" s="18" t="n"/>
      <c r="S4" s="7" t="n"/>
      <c r="T4" s="14" t="inlineStr">
        <is>
          <t>Día 5</t>
        </is>
      </c>
      <c r="U4" s="18" t="n"/>
      <c r="V4" s="9" t="n"/>
      <c r="W4" s="14" t="inlineStr">
        <is>
          <t>Día 6</t>
        </is>
      </c>
      <c r="X4" s="18" t="n"/>
      <c r="Y4" s="7" t="n"/>
      <c r="Z4" s="14" t="inlineStr">
        <is>
          <t>Día 7</t>
        </is>
      </c>
      <c r="AA4" s="18" t="n"/>
      <c r="AB4" s="7" t="n"/>
      <c r="AC4" s="14" t="inlineStr">
        <is>
          <t>Día 8</t>
        </is>
      </c>
      <c r="AD4" s="18" t="n"/>
      <c r="AE4" s="7" t="n"/>
      <c r="AF4" s="14" t="inlineStr">
        <is>
          <t>Día 9</t>
        </is>
      </c>
      <c r="AG4" s="18" t="n"/>
      <c r="AH4" s="7" t="n"/>
      <c r="AI4" s="14" t="inlineStr">
        <is>
          <t>Día 10</t>
        </is>
      </c>
      <c r="AJ4" s="18" t="n"/>
      <c r="AK4" s="7" t="n"/>
      <c r="AL4" s="14" t="inlineStr">
        <is>
          <t>Día 11</t>
        </is>
      </c>
      <c r="AM4" s="18" t="n"/>
      <c r="AN4" s="7" t="n"/>
      <c r="AO4" s="14" t="inlineStr">
        <is>
          <t>Día 12</t>
        </is>
      </c>
      <c r="AP4" s="18" t="n"/>
      <c r="AQ4" s="7" t="n"/>
      <c r="AR4" s="14" t="inlineStr">
        <is>
          <t>Día 13</t>
        </is>
      </c>
      <c r="AS4" s="18" t="n"/>
      <c r="AT4" s="7" t="n"/>
      <c r="AU4" s="14" t="inlineStr">
        <is>
          <t>Día 14</t>
        </is>
      </c>
      <c r="AV4" s="18" t="n"/>
      <c r="AW4" s="7" t="n"/>
      <c r="AX4" s="14" t="inlineStr">
        <is>
          <t>Día 15</t>
        </is>
      </c>
      <c r="AY4" s="18" t="n"/>
      <c r="AZ4" s="7" t="n"/>
      <c r="BA4" s="14" t="inlineStr">
        <is>
          <t>Día 16</t>
        </is>
      </c>
      <c r="BB4" s="18" t="n"/>
      <c r="BC4" s="7" t="n"/>
      <c r="BD4" s="14" t="inlineStr">
        <is>
          <t>Día 17</t>
        </is>
      </c>
      <c r="BE4" s="18" t="n"/>
      <c r="BF4" s="7" t="n"/>
      <c r="BG4" s="14" t="inlineStr">
        <is>
          <t>Día 18</t>
        </is>
      </c>
      <c r="BH4" s="18" t="n"/>
      <c r="BI4" s="7" t="n"/>
      <c r="BJ4" s="14" t="inlineStr">
        <is>
          <t>Día 19</t>
        </is>
      </c>
      <c r="BK4" s="18" t="n"/>
      <c r="BL4" s="7" t="n"/>
      <c r="BM4" s="14" t="inlineStr">
        <is>
          <t>Día 20</t>
        </is>
      </c>
      <c r="BN4" s="18" t="n"/>
      <c r="BO4" s="7" t="n"/>
      <c r="BP4" s="14" t="inlineStr">
        <is>
          <t>Total</t>
        </is>
      </c>
      <c r="BQ4" s="18" t="n"/>
    </row>
    <row r="5" ht="45" customHeight="1">
      <c r="B5" s="4" t="inlineStr">
        <is>
          <t>Identificador (ID) de item de product backlog</t>
        </is>
      </c>
      <c r="C5" s="4" t="inlineStr">
        <is>
          <t>Enunciado del item de Product backlog</t>
        </is>
      </c>
      <c r="D5" s="4" t="inlineStr">
        <is>
          <t>Tarea</t>
        </is>
      </c>
      <c r="E5" s="4" t="inlineStr">
        <is>
          <t>Dueño / Voluntario</t>
        </is>
      </c>
      <c r="F5" s="4" t="inlineStr">
        <is>
          <t>Estatus</t>
        </is>
      </c>
      <c r="G5" s="4" t="inlineStr">
        <is>
          <t>Horas estimadas totales</t>
        </is>
      </c>
      <c r="H5" s="6" t="inlineStr">
        <is>
          <t>Cons.</t>
        </is>
      </c>
      <c r="I5" s="6" t="inlineStr">
        <is>
          <t>Rest.</t>
        </is>
      </c>
      <c r="K5" s="6" t="inlineStr">
        <is>
          <t>Cons.</t>
        </is>
      </c>
      <c r="L5" s="6" t="inlineStr">
        <is>
          <t>Rest.</t>
        </is>
      </c>
      <c r="N5" s="6" t="inlineStr">
        <is>
          <t>Cons.</t>
        </is>
      </c>
      <c r="O5" s="6" t="inlineStr">
        <is>
          <t>Rest.</t>
        </is>
      </c>
      <c r="Q5" s="6" t="inlineStr">
        <is>
          <t>Cons.</t>
        </is>
      </c>
      <c r="R5" s="6" t="inlineStr">
        <is>
          <t>Rest.</t>
        </is>
      </c>
      <c r="T5" s="6" t="inlineStr">
        <is>
          <t>Cons.</t>
        </is>
      </c>
      <c r="U5" s="6" t="inlineStr">
        <is>
          <t>Rest.</t>
        </is>
      </c>
      <c r="V5" s="21" t="n"/>
      <c r="W5" s="6" t="inlineStr">
        <is>
          <t>Cons.</t>
        </is>
      </c>
      <c r="X5" s="6" t="inlineStr">
        <is>
          <t>Rest.</t>
        </is>
      </c>
      <c r="Z5" s="6" t="inlineStr">
        <is>
          <t>Cons.</t>
        </is>
      </c>
      <c r="AA5" s="6" t="inlineStr">
        <is>
          <t>Rest.</t>
        </is>
      </c>
      <c r="AC5" s="6" t="inlineStr">
        <is>
          <t>Cons.</t>
        </is>
      </c>
      <c r="AD5" s="6" t="inlineStr">
        <is>
          <t>Rest.</t>
        </is>
      </c>
      <c r="AF5" s="6" t="inlineStr">
        <is>
          <t>Cons.</t>
        </is>
      </c>
      <c r="AG5" s="6" t="inlineStr">
        <is>
          <t>Rest.</t>
        </is>
      </c>
      <c r="AI5" s="6" t="inlineStr">
        <is>
          <t>Cons.</t>
        </is>
      </c>
      <c r="AJ5" s="6" t="inlineStr">
        <is>
          <t>Rest.</t>
        </is>
      </c>
      <c r="AL5" s="6" t="inlineStr">
        <is>
          <t>Cons.</t>
        </is>
      </c>
      <c r="AM5" s="6" t="inlineStr">
        <is>
          <t>Rest.</t>
        </is>
      </c>
      <c r="AO5" s="6" t="inlineStr">
        <is>
          <t>Cons.</t>
        </is>
      </c>
      <c r="AP5" s="6" t="inlineStr">
        <is>
          <t>Rest.</t>
        </is>
      </c>
      <c r="AR5" s="6" t="inlineStr">
        <is>
          <t>Cons.</t>
        </is>
      </c>
      <c r="AS5" s="6" t="inlineStr">
        <is>
          <t>Rest.</t>
        </is>
      </c>
      <c r="AU5" s="6" t="inlineStr">
        <is>
          <t>Cons.</t>
        </is>
      </c>
      <c r="AV5" s="6" t="inlineStr">
        <is>
          <t>Rest.</t>
        </is>
      </c>
      <c r="AX5" s="6" t="inlineStr">
        <is>
          <t>Cons.</t>
        </is>
      </c>
      <c r="AY5" s="6" t="inlineStr">
        <is>
          <t>Rest.</t>
        </is>
      </c>
      <c r="BA5" s="6" t="inlineStr">
        <is>
          <t>Cons.</t>
        </is>
      </c>
      <c r="BB5" s="6" t="inlineStr">
        <is>
          <t>Rest.</t>
        </is>
      </c>
      <c r="BD5" s="6" t="inlineStr">
        <is>
          <t>Cons.</t>
        </is>
      </c>
      <c r="BE5" s="6" t="inlineStr">
        <is>
          <t>Rest.</t>
        </is>
      </c>
      <c r="BG5" s="6" t="inlineStr">
        <is>
          <t>Cons.</t>
        </is>
      </c>
      <c r="BH5" s="6" t="inlineStr">
        <is>
          <t>Rest.</t>
        </is>
      </c>
      <c r="BJ5" s="6" t="inlineStr">
        <is>
          <t>Cons.</t>
        </is>
      </c>
      <c r="BK5" s="6" t="inlineStr">
        <is>
          <t>Rest.</t>
        </is>
      </c>
      <c r="BM5" s="6" t="inlineStr">
        <is>
          <t>Cons.</t>
        </is>
      </c>
      <c r="BN5" s="6" t="inlineStr">
        <is>
          <t>Rest.</t>
        </is>
      </c>
      <c r="BP5" s="6" t="inlineStr">
        <is>
          <t>Cons.</t>
        </is>
      </c>
      <c r="BQ5" s="6" t="inlineStr">
        <is>
          <t>Rest.</t>
        </is>
      </c>
    </row>
    <row r="6" ht="45" customHeight="1">
      <c r="B6" s="11" t="inlineStr">
        <is>
          <t>NSF-S1-001</t>
        </is>
      </c>
      <c r="C6" s="11" t="inlineStr">
        <is>
          <t>Como Scrum Master, necesito planificar y estructurar el Sprint backlog 1, con la finalidad de organizar las tareas operativas del primer ciclo de desarrollo.</t>
        </is>
      </c>
      <c r="D6" s="11" t="inlineStr">
        <is>
          <t>Definir tareas y estimaciones del Sprint backlog 1</t>
        </is>
      </c>
      <c r="E6" s="11" t="inlineStr">
        <is>
          <t>Alejandra Garrido</t>
        </is>
      </c>
      <c r="F6" s="11" t="inlineStr">
        <is>
          <t>Hecho</t>
        </is>
      </c>
      <c r="G6" s="11" t="n">
        <v>3</v>
      </c>
      <c r="H6" s="11" t="n">
        <v>2</v>
      </c>
      <c r="I6" s="11">
        <f>G6-H6</f>
        <v/>
      </c>
      <c r="K6" s="11" t="n">
        <v>1</v>
      </c>
      <c r="L6" s="11">
        <f>I6-K6</f>
        <v/>
      </c>
      <c r="N6" s="11" t="n"/>
      <c r="O6" s="11">
        <f>L6-N6</f>
        <v/>
      </c>
      <c r="Q6" s="11" t="n"/>
      <c r="R6" s="11">
        <f>O6-Q6</f>
        <v/>
      </c>
      <c r="T6" s="11" t="n"/>
      <c r="U6" s="11">
        <f>R6-T6</f>
        <v/>
      </c>
      <c r="V6" s="21" t="n"/>
      <c r="W6" s="11" t="n"/>
      <c r="X6" s="11">
        <f>U6-W6</f>
        <v/>
      </c>
      <c r="Z6" s="11" t="n"/>
      <c r="AA6" s="11">
        <f>X6-Z6</f>
        <v/>
      </c>
      <c r="AC6" s="11" t="n"/>
      <c r="AD6" s="11">
        <f>AA6-AC6</f>
        <v/>
      </c>
      <c r="AF6" s="11" t="n"/>
      <c r="AG6" s="11">
        <f>AD6-AF6</f>
        <v/>
      </c>
      <c r="AI6" s="11" t="n"/>
      <c r="AJ6" s="11">
        <f>AG6-AI6</f>
        <v/>
      </c>
      <c r="AL6" s="11" t="n"/>
      <c r="AM6" s="11">
        <f>AJ6-AL6</f>
        <v/>
      </c>
      <c r="AO6" s="11" t="n"/>
      <c r="AP6" s="11">
        <f>AM6-AO6</f>
        <v/>
      </c>
      <c r="AR6" s="11" t="n"/>
      <c r="AS6" s="11">
        <f>AP6-AR6</f>
        <v/>
      </c>
      <c r="AU6" s="11" t="n"/>
      <c r="AV6" s="11">
        <f>AS6-AU6</f>
        <v/>
      </c>
      <c r="AX6" s="11" t="n"/>
      <c r="AY6" s="11">
        <f>AV6-AX6</f>
        <v/>
      </c>
      <c r="BA6" s="11" t="n"/>
      <c r="BB6" s="11">
        <f>AY6-BA6</f>
        <v/>
      </c>
      <c r="BD6" s="11" t="n"/>
      <c r="BE6" s="11">
        <f>BB6-BD6</f>
        <v/>
      </c>
      <c r="BG6" s="11" t="n"/>
      <c r="BH6" s="11">
        <f>BE6-BG6</f>
        <v/>
      </c>
      <c r="BJ6" s="11" t="n"/>
      <c r="BK6" s="11">
        <f>BH6-BJ6</f>
        <v/>
      </c>
      <c r="BM6" s="11" t="n"/>
      <c r="BN6" s="11">
        <f>BK6-BM6</f>
        <v/>
      </c>
      <c r="BP6" s="12">
        <f>H6+K6+N6+Q6+T6+W6+Z6+AC6+AF6+AI6+AL6+AO6+AR6+AU6+AX6+BA6+BD6+BG6+BJ6+BM6</f>
        <v/>
      </c>
      <c r="BQ6" s="12">
        <f>G6-BP6</f>
        <v/>
      </c>
    </row>
    <row r="7">
      <c r="B7" s="11" t="inlineStr">
        <is>
          <t>NSF-S1-001</t>
        </is>
      </c>
      <c r="C7" s="11" t="n"/>
      <c r="D7" s="11" t="inlineStr">
        <is>
          <t>Configurar tablero Trello y realizar la planificación del Sprint</t>
        </is>
      </c>
      <c r="E7" s="11" t="inlineStr">
        <is>
          <t>Alejandra Garrido</t>
        </is>
      </c>
      <c r="F7" s="11" t="inlineStr">
        <is>
          <t>Hecho</t>
        </is>
      </c>
      <c r="G7" s="11" t="n">
        <v>2</v>
      </c>
      <c r="H7" s="11" t="n">
        <v>1</v>
      </c>
      <c r="I7" s="11">
        <f>G7-H7</f>
        <v/>
      </c>
      <c r="K7" s="11" t="n">
        <v>1</v>
      </c>
      <c r="L7" s="11">
        <f>I7-K7</f>
        <v/>
      </c>
      <c r="N7" s="11" t="n"/>
      <c r="O7" s="11">
        <f>L7-N7</f>
        <v/>
      </c>
      <c r="Q7" s="11" t="n"/>
      <c r="R7" s="11">
        <f>O7-Q7</f>
        <v/>
      </c>
      <c r="T7" s="11" t="n"/>
      <c r="U7" s="11">
        <f>R7-T7</f>
        <v/>
      </c>
      <c r="V7" s="21" t="n"/>
      <c r="W7" s="11" t="n"/>
      <c r="X7" s="11">
        <f>U7-W7</f>
        <v/>
      </c>
      <c r="Z7" s="11" t="n"/>
      <c r="AA7" s="11">
        <f>X7-Z7</f>
        <v/>
      </c>
      <c r="AC7" s="11" t="n"/>
      <c r="AD7" s="11">
        <f>AA7-AC7</f>
        <v/>
      </c>
      <c r="AF7" s="11" t="n"/>
      <c r="AG7" s="11">
        <f>AD7-AF7</f>
        <v/>
      </c>
      <c r="AI7" s="11" t="n"/>
      <c r="AJ7" s="11">
        <f>AG7-AI7</f>
        <v/>
      </c>
      <c r="AL7" s="11" t="n"/>
      <c r="AM7" s="11">
        <f>AJ7-AL7</f>
        <v/>
      </c>
      <c r="AO7" s="11" t="n"/>
      <c r="AP7" s="11">
        <f>AM7-AO7</f>
        <v/>
      </c>
      <c r="AR7" s="11" t="n"/>
      <c r="AS7" s="11">
        <f>AP7-AR7</f>
        <v/>
      </c>
      <c r="AU7" s="11" t="n"/>
      <c r="AV7" s="11">
        <f>AS7-AU7</f>
        <v/>
      </c>
      <c r="AX7" s="11" t="n"/>
      <c r="AY7" s="11">
        <f>AV7-AX7</f>
        <v/>
      </c>
      <c r="BA7" s="11" t="n"/>
      <c r="BB7" s="11">
        <f>AY7-BA7</f>
        <v/>
      </c>
      <c r="BD7" s="11" t="n"/>
      <c r="BE7" s="11">
        <f>BB7-BD7</f>
        <v/>
      </c>
      <c r="BG7" s="11" t="n"/>
      <c r="BH7" s="11">
        <f>BE7-BG7</f>
        <v/>
      </c>
      <c r="BJ7" s="11" t="n"/>
      <c r="BK7" s="11">
        <f>BH7-BJ7</f>
        <v/>
      </c>
      <c r="BM7" s="11" t="n"/>
      <c r="BN7" s="11">
        <f>BK7-BM7</f>
        <v/>
      </c>
      <c r="BP7" s="12">
        <f>H7+K7+N7+Q7+T7+W7+Z7+AC7+AF7+AI7+AL7+AO7+AR7+AU7+AX7+BA7+BD7+BG7+BJ7+BM7</f>
        <v/>
      </c>
      <c r="BQ7" s="12">
        <f>G7-BP7</f>
        <v/>
      </c>
    </row>
    <row r="8">
      <c r="B8" s="11" t="inlineStr">
        <is>
          <t>NSF-S1-002</t>
        </is>
      </c>
      <c r="C8" s="11" t="inlineStr">
        <is>
          <t>Como Desarrollador Backend, necesito construir la base de datos inicial, esquemas y scripts de migraciones, con la finalidad de persistir la información del sistema.</t>
        </is>
      </c>
      <c r="D8" s="11" t="inlineStr">
        <is>
          <t>Crear modelos de datos en Django a partir del Diagrama ER</t>
        </is>
      </c>
      <c r="E8" s="11" t="inlineStr">
        <is>
          <t>Daniela Huaiquiñir</t>
        </is>
      </c>
      <c r="F8" s="11" t="inlineStr">
        <is>
          <t>Hecho</t>
        </is>
      </c>
      <c r="G8" s="11" t="n">
        <v>6</v>
      </c>
      <c r="H8" s="11" t="n"/>
      <c r="I8" s="11">
        <f>G8-H8</f>
        <v/>
      </c>
      <c r="K8" s="11" t="n">
        <v>2</v>
      </c>
      <c r="L8" s="11">
        <f>I8-K8</f>
        <v/>
      </c>
      <c r="N8" s="11" t="n">
        <v>2</v>
      </c>
      <c r="O8" s="11">
        <f>L8-N8</f>
        <v/>
      </c>
      <c r="Q8" s="11" t="n">
        <v>2</v>
      </c>
      <c r="R8" s="11">
        <f>O8-Q8</f>
        <v/>
      </c>
      <c r="T8" s="11" t="n"/>
      <c r="U8" s="11">
        <f>R8-T8</f>
        <v/>
      </c>
      <c r="V8" s="21" t="n"/>
      <c r="W8" s="11" t="n"/>
      <c r="X8" s="11">
        <f>U8-W8</f>
        <v/>
      </c>
      <c r="Z8" s="11" t="n"/>
      <c r="AA8" s="11">
        <f>X8-Z8</f>
        <v/>
      </c>
      <c r="AC8" s="11" t="n"/>
      <c r="AD8" s="11">
        <f>AA8-AC8</f>
        <v/>
      </c>
      <c r="AF8" s="11" t="n"/>
      <c r="AG8" s="11">
        <f>AD8-AF8</f>
        <v/>
      </c>
      <c r="AI8" s="11" t="n"/>
      <c r="AJ8" s="11">
        <f>AG8-AI8</f>
        <v/>
      </c>
      <c r="AL8" s="11" t="n"/>
      <c r="AM8" s="11">
        <f>AJ8-AL8</f>
        <v/>
      </c>
      <c r="AO8" s="11" t="n"/>
      <c r="AP8" s="11">
        <f>AM8-AO8</f>
        <v/>
      </c>
      <c r="AR8" s="11" t="n"/>
      <c r="AS8" s="11">
        <f>AP8-AR8</f>
        <v/>
      </c>
      <c r="AU8" s="11" t="n"/>
      <c r="AV8" s="11">
        <f>AS8-AU8</f>
        <v/>
      </c>
      <c r="AX8" s="11" t="n"/>
      <c r="AY8" s="11">
        <f>AV8-AX8</f>
        <v/>
      </c>
      <c r="BA8" s="11" t="n"/>
      <c r="BB8" s="11">
        <f>AY8-BA8</f>
        <v/>
      </c>
      <c r="BD8" s="11" t="n"/>
      <c r="BE8" s="11">
        <f>BB8-BD8</f>
        <v/>
      </c>
      <c r="BG8" s="11" t="n"/>
      <c r="BH8" s="11">
        <f>BE8-BG8</f>
        <v/>
      </c>
      <c r="BJ8" s="11" t="n"/>
      <c r="BK8" s="11">
        <f>BH8-BJ8</f>
        <v/>
      </c>
      <c r="BM8" s="11" t="n"/>
      <c r="BN8" s="11">
        <f>BK8-BM8</f>
        <v/>
      </c>
      <c r="BP8" s="12">
        <f>H8+K8+N8+Q8+T8+W8+Z8+AC8+AF8+AI8+AL8+AO8+AR8+AU8+AX8+BA8+BD8+BG8+BJ8+BM8</f>
        <v/>
      </c>
      <c r="BQ8" s="12">
        <f>G8-BP8</f>
        <v/>
      </c>
    </row>
    <row r="9">
      <c r="B9" s="11" t="inlineStr">
        <is>
          <t>NSF-S1-002</t>
        </is>
      </c>
      <c r="C9" s="11" t="n"/>
      <c r="D9" s="11" t="inlineStr">
        <is>
          <t>Generar y ejecutar las migraciones de la base de datos</t>
        </is>
      </c>
      <c r="E9" s="11" t="inlineStr">
        <is>
          <t>Daniela Huaiquiñir</t>
        </is>
      </c>
      <c r="F9" s="11" t="inlineStr">
        <is>
          <t>Hecho</t>
        </is>
      </c>
      <c r="G9" s="11" t="n">
        <v>5</v>
      </c>
      <c r="H9" s="11" t="n"/>
      <c r="I9" s="11">
        <f>G9-H9</f>
        <v/>
      </c>
      <c r="K9" s="11" t="n"/>
      <c r="L9" s="11">
        <f>I9-K9</f>
        <v/>
      </c>
      <c r="N9" s="11" t="n"/>
      <c r="O9" s="11">
        <f>L9-N9</f>
        <v/>
      </c>
      <c r="Q9" s="11" t="n"/>
      <c r="R9" s="11">
        <f>O9-Q9</f>
        <v/>
      </c>
      <c r="T9" s="11" t="n">
        <v>2</v>
      </c>
      <c r="U9" s="11">
        <f>R9-T9</f>
        <v/>
      </c>
      <c r="V9" s="21" t="n"/>
      <c r="W9" s="11" t="n">
        <v>2</v>
      </c>
      <c r="X9" s="11">
        <f>U9-W9</f>
        <v/>
      </c>
      <c r="Z9" s="11" t="n">
        <v>1</v>
      </c>
      <c r="AA9" s="11">
        <f>X9-Z9</f>
        <v/>
      </c>
      <c r="AC9" s="11" t="n"/>
      <c r="AD9" s="11">
        <f>AA9-AC9</f>
        <v/>
      </c>
      <c r="AF9" s="11" t="n"/>
      <c r="AG9" s="11">
        <f>AD9-AF9</f>
        <v/>
      </c>
      <c r="AI9" s="11" t="n"/>
      <c r="AJ9" s="11">
        <f>AG9-AI9</f>
        <v/>
      </c>
      <c r="AL9" s="11" t="n"/>
      <c r="AM9" s="11">
        <f>AJ9-AL9</f>
        <v/>
      </c>
      <c r="AO9" s="11" t="n"/>
      <c r="AP9" s="11">
        <f>AM9-AO9</f>
        <v/>
      </c>
      <c r="AR9" s="11" t="n"/>
      <c r="AS9" s="11">
        <f>AP9-AR9</f>
        <v/>
      </c>
      <c r="AU9" s="11" t="n"/>
      <c r="AV9" s="11">
        <f>AS9-AU9</f>
        <v/>
      </c>
      <c r="AX9" s="11" t="n"/>
      <c r="AY9" s="11">
        <f>AV9-AX9</f>
        <v/>
      </c>
      <c r="BA9" s="11" t="n"/>
      <c r="BB9" s="11">
        <f>AY9-BA9</f>
        <v/>
      </c>
      <c r="BD9" s="11" t="n"/>
      <c r="BE9" s="11">
        <f>BB9-BD9</f>
        <v/>
      </c>
      <c r="BG9" s="11" t="n"/>
      <c r="BH9" s="11">
        <f>BE9-BG9</f>
        <v/>
      </c>
      <c r="BJ9" s="11" t="n"/>
      <c r="BK9" s="11">
        <f>BH9-BJ9</f>
        <v/>
      </c>
      <c r="BM9" s="11" t="n"/>
      <c r="BN9" s="11">
        <f>BK9-BM9</f>
        <v/>
      </c>
      <c r="BP9" s="12">
        <f>H9+K9+N9+Q9+T9+W9+Z9+AC9+AF9+AI9+AL9+AO9+AR9+AU9+AX9+BA9+BD9+BG9+BJ9+BM9</f>
        <v/>
      </c>
      <c r="BQ9" s="12">
        <f>G9-BP9</f>
        <v/>
      </c>
    </row>
    <row r="10" ht="45" customHeight="1">
      <c r="B10" s="11" t="inlineStr">
        <is>
          <t>NSF-S1-002</t>
        </is>
      </c>
      <c r="C10" s="11" t="n"/>
      <c r="D10" s="11" t="inlineStr">
        <is>
          <t>Cargar datos iniciales (roles y servicios)</t>
        </is>
      </c>
      <c r="E10" s="11" t="inlineStr">
        <is>
          <t>Daniela Huaiquiñir</t>
        </is>
      </c>
      <c r="F10" s="11" t="inlineStr">
        <is>
          <t>Hecho</t>
        </is>
      </c>
      <c r="G10" s="11" t="n">
        <v>4</v>
      </c>
      <c r="H10" s="11" t="n"/>
      <c r="I10" s="11">
        <f>G10-H10</f>
        <v/>
      </c>
      <c r="K10" s="11" t="n"/>
      <c r="L10" s="11">
        <f>I10-K10</f>
        <v/>
      </c>
      <c r="N10" s="11" t="n"/>
      <c r="O10" s="11">
        <f>L10-N10</f>
        <v/>
      </c>
      <c r="Q10" s="11" t="n"/>
      <c r="R10" s="11">
        <f>O10-Q10</f>
        <v/>
      </c>
      <c r="T10" s="11" t="n"/>
      <c r="U10" s="11">
        <f>R10-T10</f>
        <v/>
      </c>
      <c r="V10" s="21" t="n"/>
      <c r="W10" s="11" t="n"/>
      <c r="X10" s="11">
        <f>U10-W10</f>
        <v/>
      </c>
      <c r="Z10" s="11" t="n"/>
      <c r="AA10" s="11">
        <f>X10-Z10</f>
        <v/>
      </c>
      <c r="AC10" s="11" t="n">
        <v>2</v>
      </c>
      <c r="AD10" s="11">
        <f>AA10-AC10</f>
        <v/>
      </c>
      <c r="AF10" s="11" t="n">
        <v>2</v>
      </c>
      <c r="AG10" s="11">
        <f>AD10-AF10</f>
        <v/>
      </c>
      <c r="AI10" s="11" t="n"/>
      <c r="AJ10" s="11">
        <f>AG10-AI10</f>
        <v/>
      </c>
      <c r="AL10" s="11" t="n"/>
      <c r="AM10" s="11">
        <f>AJ10-AL10</f>
        <v/>
      </c>
      <c r="AO10" s="11" t="n"/>
      <c r="AP10" s="11">
        <f>AM10-AO10</f>
        <v/>
      </c>
      <c r="AR10" s="11" t="n"/>
      <c r="AS10" s="11">
        <f>AP10-AR10</f>
        <v/>
      </c>
      <c r="AU10" s="11" t="n"/>
      <c r="AV10" s="11">
        <f>AS10-AU10</f>
        <v/>
      </c>
      <c r="AX10" s="11" t="n"/>
      <c r="AY10" s="11">
        <f>AV10-AX10</f>
        <v/>
      </c>
      <c r="BA10" s="11" t="n"/>
      <c r="BB10" s="11">
        <f>AY10-BA10</f>
        <v/>
      </c>
      <c r="BD10" s="11" t="n"/>
      <c r="BE10" s="11">
        <f>BB10-BD10</f>
        <v/>
      </c>
      <c r="BG10" s="11" t="n"/>
      <c r="BH10" s="11">
        <f>BE10-BG10</f>
        <v/>
      </c>
      <c r="BJ10" s="11" t="n"/>
      <c r="BK10" s="11">
        <f>BH10-BJ10</f>
        <v/>
      </c>
      <c r="BM10" s="11" t="n"/>
      <c r="BN10" s="11">
        <f>BK10-BM10</f>
        <v/>
      </c>
      <c r="BP10" s="12">
        <f>H10+K10+N10+Q10+T10+W10+Z10+AC10+AF10+AI10+AL10+AO10+AR10+AU10+AX10+BA10+BD10+BG10+BJ10+BM10</f>
        <v/>
      </c>
      <c r="BQ10" s="12">
        <f>G10-BP10</f>
        <v/>
      </c>
    </row>
    <row r="11">
      <c r="B11" s="11" t="inlineStr">
        <is>
          <t>NSF-S1-003</t>
        </is>
      </c>
      <c r="C11" s="11" t="inlineStr">
        <is>
          <t>Como Cliente / Administrador, necesito desarrollar el módulo de autenticación, registro y control de roles (RBAC), con la finalidad de asegurar el acceso según permisos de usuario.</t>
        </is>
      </c>
      <c r="D11" s="11" t="inlineStr">
        <is>
          <t>Implementar registro de usuarios</t>
        </is>
      </c>
      <c r="E11" s="11" t="inlineStr">
        <is>
          <t>Alejandra Garrido</t>
        </is>
      </c>
      <c r="F11" s="11" t="inlineStr">
        <is>
          <t>Hecho</t>
        </is>
      </c>
      <c r="G11" s="11" t="n">
        <v>6</v>
      </c>
      <c r="H11" s="11" t="n"/>
      <c r="I11" s="11">
        <f>G11-H11</f>
        <v/>
      </c>
      <c r="K11" s="11" t="n"/>
      <c r="L11" s="11">
        <f>I11-K11</f>
        <v/>
      </c>
      <c r="N11" s="11" t="n"/>
      <c r="O11" s="11">
        <f>L11-N11</f>
        <v/>
      </c>
      <c r="Q11" s="11" t="n"/>
      <c r="R11" s="11">
        <f>O11-Q11</f>
        <v/>
      </c>
      <c r="T11" s="11" t="n"/>
      <c r="U11" s="11">
        <f>R11-T11</f>
        <v/>
      </c>
      <c r="V11" s="21" t="n"/>
      <c r="W11" s="11" t="n">
        <v>2</v>
      </c>
      <c r="X11" s="11">
        <f>U11-W11</f>
        <v/>
      </c>
      <c r="Z11" s="11" t="n">
        <v>2</v>
      </c>
      <c r="AA11" s="11">
        <f>X11-Z11</f>
        <v/>
      </c>
      <c r="AC11" s="11" t="n">
        <v>1</v>
      </c>
      <c r="AD11" s="11">
        <f>AA11-AC11</f>
        <v/>
      </c>
      <c r="AF11" s="11" t="n">
        <v>1</v>
      </c>
      <c r="AG11" s="11">
        <f>AD11-AF11</f>
        <v/>
      </c>
      <c r="AI11" s="11" t="n"/>
      <c r="AJ11" s="11">
        <f>AG11-AI11</f>
        <v/>
      </c>
      <c r="AL11" s="11" t="n"/>
      <c r="AM11" s="11">
        <f>AJ11-AL11</f>
        <v/>
      </c>
      <c r="AO11" s="11" t="n"/>
      <c r="AP11" s="11">
        <f>AM11-AO11</f>
        <v/>
      </c>
      <c r="AR11" s="11" t="n"/>
      <c r="AS11" s="11">
        <f>AP11-AR11</f>
        <v/>
      </c>
      <c r="AU11" s="11" t="n"/>
      <c r="AV11" s="11">
        <f>AS11-AU11</f>
        <v/>
      </c>
      <c r="AX11" s="11" t="n"/>
      <c r="AY11" s="11">
        <f>AV11-AX11</f>
        <v/>
      </c>
      <c r="BA11" s="11" t="n"/>
      <c r="BB11" s="11">
        <f>AY11-BA11</f>
        <v/>
      </c>
      <c r="BD11" s="11" t="n"/>
      <c r="BE11" s="11">
        <f>BB11-BD11</f>
        <v/>
      </c>
      <c r="BG11" s="11" t="n"/>
      <c r="BH11" s="11">
        <f>BE11-BG11</f>
        <v/>
      </c>
      <c r="BJ11" s="11" t="n"/>
      <c r="BK11" s="11">
        <f>BH11-BJ11</f>
        <v/>
      </c>
      <c r="BM11" s="11" t="n"/>
      <c r="BN11" s="11">
        <f>BK11-BM11</f>
        <v/>
      </c>
      <c r="BP11" s="12">
        <f>H11+K11+N11+Q11+T11+W11+Z11+AC11+AF11+AI11+AL11+AO11+AR11+AU11+AX11+BA11+BD11+BG11+BJ11+BM11</f>
        <v/>
      </c>
      <c r="BQ11" s="12">
        <f>G11-BP11</f>
        <v/>
      </c>
    </row>
    <row r="12">
      <c r="B12" s="11" t="inlineStr">
        <is>
          <t>NSF-S1-003</t>
        </is>
      </c>
      <c r="C12" s="11" t="n"/>
      <c r="D12" s="11" t="inlineStr">
        <is>
          <t>Implementar inicio y cierre de sesión</t>
        </is>
      </c>
      <c r="E12" s="11" t="inlineStr">
        <is>
          <t>Alejandra Garrido</t>
        </is>
      </c>
      <c r="F12" s="11" t="inlineStr">
        <is>
          <t>Hecho</t>
        </is>
      </c>
      <c r="G12" s="11" t="n">
        <v>5</v>
      </c>
      <c r="H12" s="11" t="n"/>
      <c r="I12" s="11">
        <f>G12-H12</f>
        <v/>
      </c>
      <c r="K12" s="11" t="n"/>
      <c r="L12" s="11">
        <f>I12-K12</f>
        <v/>
      </c>
      <c r="N12" s="11" t="n"/>
      <c r="O12" s="11">
        <f>L12-N12</f>
        <v/>
      </c>
      <c r="Q12" s="11" t="n"/>
      <c r="R12" s="11">
        <f>O12-Q12</f>
        <v/>
      </c>
      <c r="T12" s="11" t="n"/>
      <c r="U12" s="11">
        <f>R12-T12</f>
        <v/>
      </c>
      <c r="V12" s="21" t="n"/>
      <c r="W12" s="11" t="n"/>
      <c r="X12" s="11">
        <f>U12-W12</f>
        <v/>
      </c>
      <c r="Z12" s="11" t="n"/>
      <c r="AA12" s="11">
        <f>X12-Z12</f>
        <v/>
      </c>
      <c r="AC12" s="11" t="n"/>
      <c r="AD12" s="11">
        <f>AA12-AC12</f>
        <v/>
      </c>
      <c r="AF12" s="11" t="n">
        <v>2</v>
      </c>
      <c r="AG12" s="11">
        <f>AD12-AF12</f>
        <v/>
      </c>
      <c r="AI12" s="11" t="n">
        <v>2</v>
      </c>
      <c r="AJ12" s="11">
        <f>AG12-AI12</f>
        <v/>
      </c>
      <c r="AL12" s="11" t="n">
        <v>1</v>
      </c>
      <c r="AM12" s="11">
        <f>AJ12-AL12</f>
        <v/>
      </c>
      <c r="AO12" s="11" t="n"/>
      <c r="AP12" s="11">
        <f>AM12-AO12</f>
        <v/>
      </c>
      <c r="AR12" s="11" t="n"/>
      <c r="AS12" s="11">
        <f>AP12-AR12</f>
        <v/>
      </c>
      <c r="AU12" s="11" t="n"/>
      <c r="AV12" s="11">
        <f>AS12-AU12</f>
        <v/>
      </c>
      <c r="AX12" s="11" t="n"/>
      <c r="AY12" s="11">
        <f>AV12-AX12</f>
        <v/>
      </c>
      <c r="BA12" s="11" t="n"/>
      <c r="BB12" s="11">
        <f>AY12-BA12</f>
        <v/>
      </c>
      <c r="BD12" s="11" t="n"/>
      <c r="BE12" s="11">
        <f>BB12-BD12</f>
        <v/>
      </c>
      <c r="BG12" s="11" t="n"/>
      <c r="BH12" s="11">
        <f>BE12-BG12</f>
        <v/>
      </c>
      <c r="BJ12" s="11" t="n"/>
      <c r="BK12" s="11">
        <f>BH12-BJ12</f>
        <v/>
      </c>
      <c r="BM12" s="11" t="n"/>
      <c r="BN12" s="11">
        <f>BK12-BM12</f>
        <v/>
      </c>
      <c r="BP12" s="12">
        <f>H12+K12+N12+Q12+T12+W12+Z12+AC12+AF12+AI12+AL12+AO12+AR12+AU12+AX12+BA12+BD12+BG12+BJ12+BM12</f>
        <v/>
      </c>
      <c r="BQ12" s="12">
        <f>G12-BP12</f>
        <v/>
      </c>
    </row>
    <row r="13">
      <c r="B13" s="11" t="inlineStr">
        <is>
          <t>NSF-S1-003</t>
        </is>
      </c>
      <c r="C13" s="11" t="n"/>
      <c r="D13" s="11" t="inlineStr">
        <is>
          <t>Implementar roles (clienta, profesional, administradora) y control de acceso RBAC</t>
        </is>
      </c>
      <c r="E13" s="11" t="inlineStr">
        <is>
          <t>Alejandra Garrido</t>
        </is>
      </c>
      <c r="F13" s="11" t="inlineStr">
        <is>
          <t>Hecho</t>
        </is>
      </c>
      <c r="G13" s="11" t="n">
        <v>6</v>
      </c>
      <c r="H13" s="11" t="n"/>
      <c r="I13" s="11">
        <f>G13-H13</f>
        <v/>
      </c>
      <c r="K13" s="11" t="n"/>
      <c r="L13" s="11">
        <f>I13-K13</f>
        <v/>
      </c>
      <c r="N13" s="11" t="n"/>
      <c r="O13" s="11">
        <f>L13-N13</f>
        <v/>
      </c>
      <c r="Q13" s="11" t="n"/>
      <c r="R13" s="11">
        <f>O13-Q13</f>
        <v/>
      </c>
      <c r="T13" s="11" t="n"/>
      <c r="U13" s="11">
        <f>R13-T13</f>
        <v/>
      </c>
      <c r="V13" s="21" t="n"/>
      <c r="W13" s="11" t="n"/>
      <c r="X13" s="11">
        <f>U13-W13</f>
        <v/>
      </c>
      <c r="Z13" s="11" t="n"/>
      <c r="AA13" s="11">
        <f>X13-Z13</f>
        <v/>
      </c>
      <c r="AC13" s="11" t="n"/>
      <c r="AD13" s="11">
        <f>AA13-AC13</f>
        <v/>
      </c>
      <c r="AF13" s="11" t="n"/>
      <c r="AG13" s="11">
        <f>AD13-AF13</f>
        <v/>
      </c>
      <c r="AI13" s="11" t="n"/>
      <c r="AJ13" s="11">
        <f>AG13-AI13</f>
        <v/>
      </c>
      <c r="AL13" s="11" t="n">
        <v>2</v>
      </c>
      <c r="AM13" s="11">
        <f>AJ13-AL13</f>
        <v/>
      </c>
      <c r="AO13" s="11" t="n">
        <v>2</v>
      </c>
      <c r="AP13" s="11">
        <f>AM13-AO13</f>
        <v/>
      </c>
      <c r="AR13" s="11" t="n">
        <v>1</v>
      </c>
      <c r="AS13" s="11">
        <f>AP13-AR13</f>
        <v/>
      </c>
      <c r="AU13" s="11" t="n">
        <v>1</v>
      </c>
      <c r="AV13" s="11">
        <f>AS13-AU13</f>
        <v/>
      </c>
      <c r="AX13" s="11" t="n"/>
      <c r="AY13" s="11">
        <f>AV13-AX13</f>
        <v/>
      </c>
      <c r="BA13" s="11" t="n"/>
      <c r="BB13" s="11">
        <f>AY13-BA13</f>
        <v/>
      </c>
      <c r="BD13" s="11" t="n"/>
      <c r="BE13" s="11">
        <f>BB13-BD13</f>
        <v/>
      </c>
      <c r="BG13" s="11" t="n"/>
      <c r="BH13" s="11">
        <f>BE13-BG13</f>
        <v/>
      </c>
      <c r="BJ13" s="11" t="n"/>
      <c r="BK13" s="11">
        <f>BH13-BJ13</f>
        <v/>
      </c>
      <c r="BM13" s="11" t="n"/>
      <c r="BN13" s="11">
        <f>BK13-BM13</f>
        <v/>
      </c>
      <c r="BP13" s="12">
        <f>H13+K13+N13+Q13+T13+W13+Z13+AC13+AF13+AI13+AL13+AO13+AR13+AU13+AX13+BA13+BD13+BG13+BJ13+BM13</f>
        <v/>
      </c>
      <c r="BQ13" s="12">
        <f>G13-BP13</f>
        <v/>
      </c>
    </row>
    <row r="14" ht="45" customHeight="1">
      <c r="B14" s="11" t="inlineStr">
        <is>
          <t>NSF-S1-003</t>
        </is>
      </c>
      <c r="C14" s="11" t="n"/>
      <c r="D14" s="11" t="inlineStr">
        <is>
          <t>Proteger rutas y definir vista inicial según el rol</t>
        </is>
      </c>
      <c r="E14" s="11" t="inlineStr">
        <is>
          <t>Alejandra Garrido</t>
        </is>
      </c>
      <c r="F14" s="11" t="inlineStr">
        <is>
          <t>Hecho</t>
        </is>
      </c>
      <c r="G14" s="11" t="n">
        <v>3</v>
      </c>
      <c r="H14" s="11" t="n"/>
      <c r="I14" s="11">
        <f>G14-H14</f>
        <v/>
      </c>
      <c r="K14" s="11" t="n"/>
      <c r="L14" s="11">
        <f>I14-K14</f>
        <v/>
      </c>
      <c r="N14" s="11" t="n"/>
      <c r="O14" s="11">
        <f>L14-N14</f>
        <v/>
      </c>
      <c r="Q14" s="11" t="n"/>
      <c r="R14" s="11">
        <f>O14-Q14</f>
        <v/>
      </c>
      <c r="T14" s="11" t="n"/>
      <c r="U14" s="11">
        <f>R14-T14</f>
        <v/>
      </c>
      <c r="V14" s="21" t="n"/>
      <c r="W14" s="11" t="n"/>
      <c r="X14" s="11">
        <f>U14-W14</f>
        <v/>
      </c>
      <c r="Z14" s="11" t="n"/>
      <c r="AA14" s="11">
        <f>X14-Z14</f>
        <v/>
      </c>
      <c r="AC14" s="11" t="n"/>
      <c r="AD14" s="11">
        <f>AA14-AC14</f>
        <v/>
      </c>
      <c r="AF14" s="11" t="n"/>
      <c r="AG14" s="11">
        <f>AD14-AF14</f>
        <v/>
      </c>
      <c r="AI14" s="11" t="n"/>
      <c r="AJ14" s="11">
        <f>AG14-AI14</f>
        <v/>
      </c>
      <c r="AL14" s="11" t="n"/>
      <c r="AM14" s="11">
        <f>AJ14-AL14</f>
        <v/>
      </c>
      <c r="AO14" s="11" t="n"/>
      <c r="AP14" s="11">
        <f>AM14-AO14</f>
        <v/>
      </c>
      <c r="AR14" s="11" t="n"/>
      <c r="AS14" s="11">
        <f>AP14-AR14</f>
        <v/>
      </c>
      <c r="AU14" s="11" t="n">
        <v>2</v>
      </c>
      <c r="AV14" s="11">
        <f>AS14-AU14</f>
        <v/>
      </c>
      <c r="AX14" s="11" t="n">
        <v>1</v>
      </c>
      <c r="AY14" s="11">
        <f>AV14-AX14</f>
        <v/>
      </c>
      <c r="BA14" s="11" t="n"/>
      <c r="BB14" s="11">
        <f>AY14-BA14</f>
        <v/>
      </c>
      <c r="BD14" s="11" t="n"/>
      <c r="BE14" s="11">
        <f>BB14-BD14</f>
        <v/>
      </c>
      <c r="BG14" s="11" t="n"/>
      <c r="BH14" s="11">
        <f>BE14-BG14</f>
        <v/>
      </c>
      <c r="BJ14" s="11" t="n"/>
      <c r="BK14" s="11">
        <f>BH14-BJ14</f>
        <v/>
      </c>
      <c r="BM14" s="11" t="n"/>
      <c r="BN14" s="11">
        <f>BK14-BM14</f>
        <v/>
      </c>
      <c r="BP14" s="12">
        <f>H14+K14+N14+Q14+T14+W14+Z14+AC14+AF14+AI14+AL14+AO14+AR14+AU14+AX14+BA14+BD14+BG14+BJ14+BM14</f>
        <v/>
      </c>
      <c r="BQ14" s="12">
        <f>G14-BP14</f>
        <v/>
      </c>
    </row>
    <row r="15">
      <c r="B15" s="11" t="inlineStr">
        <is>
          <t>NSF-S1-004</t>
        </is>
      </c>
      <c r="C15" s="11" t="inlineStr">
        <is>
          <t>Como Cliente, necesito acceder al módulo de agendamiento online de citas, con la finalidad de reservar turnos para los servicios del salón.</t>
        </is>
      </c>
      <c r="D15" s="11" t="inlineStr">
        <is>
          <t>Desarrollar consulta de disponibilidad de horarios</t>
        </is>
      </c>
      <c r="E15" s="11" t="inlineStr">
        <is>
          <t>Daniela Huaiquiñir</t>
        </is>
      </c>
      <c r="F15" s="11" t="inlineStr">
        <is>
          <t>Hecho</t>
        </is>
      </c>
      <c r="G15" s="11" t="n">
        <v>6</v>
      </c>
      <c r="H15" s="11" t="n"/>
      <c r="I15" s="11">
        <f>G15-H15</f>
        <v/>
      </c>
      <c r="K15" s="11" t="n"/>
      <c r="L15" s="11">
        <f>I15-K15</f>
        <v/>
      </c>
      <c r="N15" s="11" t="n"/>
      <c r="O15" s="11">
        <f>L15-N15</f>
        <v/>
      </c>
      <c r="Q15" s="11" t="n"/>
      <c r="R15" s="11">
        <f>O15-Q15</f>
        <v/>
      </c>
      <c r="T15" s="11" t="n"/>
      <c r="U15" s="11">
        <f>R15-T15</f>
        <v/>
      </c>
      <c r="V15" s="21" t="n"/>
      <c r="W15" s="11" t="n"/>
      <c r="X15" s="11">
        <f>U15-W15</f>
        <v/>
      </c>
      <c r="Z15" s="11" t="n"/>
      <c r="AA15" s="11">
        <f>X15-Z15</f>
        <v/>
      </c>
      <c r="AC15" s="11" t="n"/>
      <c r="AD15" s="11">
        <f>AA15-AC15</f>
        <v/>
      </c>
      <c r="AF15" s="11" t="n"/>
      <c r="AG15" s="11">
        <f>AD15-AF15</f>
        <v/>
      </c>
      <c r="AI15" s="11" t="n">
        <v>2</v>
      </c>
      <c r="AJ15" s="11">
        <f>AG15-AI15</f>
        <v/>
      </c>
      <c r="AL15" s="11" t="n">
        <v>2</v>
      </c>
      <c r="AM15" s="11">
        <f>AJ15-AL15</f>
        <v/>
      </c>
      <c r="AO15" s="11" t="n">
        <v>1</v>
      </c>
      <c r="AP15" s="11">
        <f>AM15-AO15</f>
        <v/>
      </c>
      <c r="AR15" s="11" t="n">
        <v>1</v>
      </c>
      <c r="AS15" s="11">
        <f>AP15-AR15</f>
        <v/>
      </c>
      <c r="AU15" s="11" t="n"/>
      <c r="AV15" s="11">
        <f>AS15-AU15</f>
        <v/>
      </c>
      <c r="AX15" s="11" t="n"/>
      <c r="AY15" s="11">
        <f>AV15-AX15</f>
        <v/>
      </c>
      <c r="BA15" s="11" t="n"/>
      <c r="BB15" s="11">
        <f>AY15-BA15</f>
        <v/>
      </c>
      <c r="BD15" s="11" t="n"/>
      <c r="BE15" s="11">
        <f>BB15-BD15</f>
        <v/>
      </c>
      <c r="BG15" s="11" t="n"/>
      <c r="BH15" s="11">
        <f>BE15-BG15</f>
        <v/>
      </c>
      <c r="BJ15" s="11" t="n"/>
      <c r="BK15" s="11">
        <f>BH15-BJ15</f>
        <v/>
      </c>
      <c r="BM15" s="11" t="n"/>
      <c r="BN15" s="11">
        <f>BK15-BM15</f>
        <v/>
      </c>
      <c r="BP15" s="12">
        <f>H15+K15+N15+Q15+T15+W15+Z15+AC15+AF15+AI15+AL15+AO15+AR15+AU15+AX15+BA15+BD15+BG15+BJ15+BM15</f>
        <v/>
      </c>
      <c r="BQ15" s="12">
        <f>G15-BP15</f>
        <v/>
      </c>
    </row>
    <row r="16">
      <c r="B16" s="11" t="inlineStr">
        <is>
          <t>NSF-S1-004</t>
        </is>
      </c>
      <c r="C16" s="11" t="n"/>
      <c r="D16" s="11" t="inlineStr">
        <is>
          <t>Desarrollar selección de servicio y profesional</t>
        </is>
      </c>
      <c r="E16" s="11" t="inlineStr">
        <is>
          <t>Daniela Huaiquiñir</t>
        </is>
      </c>
      <c r="F16" s="11" t="inlineStr">
        <is>
          <t>Hecho</t>
        </is>
      </c>
      <c r="G16" s="11" t="n">
        <v>4</v>
      </c>
      <c r="H16" s="11" t="n"/>
      <c r="I16" s="11">
        <f>G16-H16</f>
        <v/>
      </c>
      <c r="K16" s="11" t="n"/>
      <c r="L16" s="11">
        <f>I16-K16</f>
        <v/>
      </c>
      <c r="N16" s="11" t="n"/>
      <c r="O16" s="11">
        <f>L16-N16</f>
        <v/>
      </c>
      <c r="Q16" s="11" t="n"/>
      <c r="R16" s="11">
        <f>O16-Q16</f>
        <v/>
      </c>
      <c r="T16" s="11" t="n"/>
      <c r="U16" s="11">
        <f>R16-T16</f>
        <v/>
      </c>
      <c r="V16" s="21" t="n"/>
      <c r="W16" s="11" t="n"/>
      <c r="X16" s="11">
        <f>U16-W16</f>
        <v/>
      </c>
      <c r="Z16" s="11" t="n"/>
      <c r="AA16" s="11">
        <f>X16-Z16</f>
        <v/>
      </c>
      <c r="AC16" s="11" t="n"/>
      <c r="AD16" s="11">
        <f>AA16-AC16</f>
        <v/>
      </c>
      <c r="AF16" s="11" t="n"/>
      <c r="AG16" s="11">
        <f>AD16-AF16</f>
        <v/>
      </c>
      <c r="AI16" s="11" t="n"/>
      <c r="AJ16" s="11">
        <f>AG16-AI16</f>
        <v/>
      </c>
      <c r="AL16" s="11" t="n"/>
      <c r="AM16" s="11">
        <f>AJ16-AL16</f>
        <v/>
      </c>
      <c r="AO16" s="11" t="n"/>
      <c r="AP16" s="11">
        <f>AM16-AO16</f>
        <v/>
      </c>
      <c r="AR16" s="11" t="n">
        <v>2</v>
      </c>
      <c r="AS16" s="11">
        <f>AP16-AR16</f>
        <v/>
      </c>
      <c r="AU16" s="11" t="n">
        <v>2</v>
      </c>
      <c r="AV16" s="11">
        <f>AS16-AU16</f>
        <v/>
      </c>
      <c r="AX16" s="11" t="n"/>
      <c r="AY16" s="11">
        <f>AV16-AX16</f>
        <v/>
      </c>
      <c r="BA16" s="11" t="n"/>
      <c r="BB16" s="11">
        <f>AY16-BA16</f>
        <v/>
      </c>
      <c r="BD16" s="11" t="n"/>
      <c r="BE16" s="11">
        <f>BB16-BD16</f>
        <v/>
      </c>
      <c r="BG16" s="11" t="n"/>
      <c r="BH16" s="11">
        <f>BE16-BG16</f>
        <v/>
      </c>
      <c r="BJ16" s="11" t="n"/>
      <c r="BK16" s="11">
        <f>BH16-BJ16</f>
        <v/>
      </c>
      <c r="BM16" s="11" t="n"/>
      <c r="BN16" s="11">
        <f>BK16-BM16</f>
        <v/>
      </c>
      <c r="BP16" s="12">
        <f>H16+K16+N16+Q16+T16+W16+Z16+AC16+AF16+AI16+AL16+AO16+AR16+AU16+AX16+BA16+BD16+BG16+BJ16+BM16</f>
        <v/>
      </c>
      <c r="BQ16" s="12">
        <f>G16-BP16</f>
        <v/>
      </c>
    </row>
    <row r="17">
      <c r="B17" s="11" t="inlineStr">
        <is>
          <t>NSF-S1-004</t>
        </is>
      </c>
      <c r="C17" s="11" t="n"/>
      <c r="D17" s="11" t="inlineStr">
        <is>
          <t>Desarrollar registro de reservas con validación de horarios</t>
        </is>
      </c>
      <c r="E17" s="11" t="inlineStr">
        <is>
          <t>Daniela Huaiquiñir</t>
        </is>
      </c>
      <c r="F17" s="11" t="inlineStr">
        <is>
          <t>Hecho</t>
        </is>
      </c>
      <c r="G17" s="11" t="n">
        <v>6</v>
      </c>
      <c r="H17" s="11" t="n"/>
      <c r="I17" s="11">
        <f>G17-H17</f>
        <v/>
      </c>
      <c r="K17" s="11" t="n"/>
      <c r="L17" s="11">
        <f>I17-K17</f>
        <v/>
      </c>
      <c r="N17" s="11" t="n"/>
      <c r="O17" s="11">
        <f>L17-N17</f>
        <v/>
      </c>
      <c r="Q17" s="11" t="n"/>
      <c r="R17" s="11">
        <f>O17-Q17</f>
        <v/>
      </c>
      <c r="T17" s="11" t="n"/>
      <c r="U17" s="11">
        <f>R17-T17</f>
        <v/>
      </c>
      <c r="V17" s="21" t="n"/>
      <c r="W17" s="11" t="n"/>
      <c r="X17" s="11">
        <f>U17-W17</f>
        <v/>
      </c>
      <c r="Z17" s="11" t="n"/>
      <c r="AA17" s="11">
        <f>X17-Z17</f>
        <v/>
      </c>
      <c r="AC17" s="11" t="n"/>
      <c r="AD17" s="11">
        <f>AA17-AC17</f>
        <v/>
      </c>
      <c r="AF17" s="11" t="n"/>
      <c r="AG17" s="11">
        <f>AD17-AF17</f>
        <v/>
      </c>
      <c r="AI17" s="11" t="n"/>
      <c r="AJ17" s="11">
        <f>AG17-AI17</f>
        <v/>
      </c>
      <c r="AL17" s="11" t="n"/>
      <c r="AM17" s="11">
        <f>AJ17-AL17</f>
        <v/>
      </c>
      <c r="AO17" s="11" t="n"/>
      <c r="AP17" s="11">
        <f>AM17-AO17</f>
        <v/>
      </c>
      <c r="AR17" s="11" t="n"/>
      <c r="AS17" s="11">
        <f>AP17-AR17</f>
        <v/>
      </c>
      <c r="AU17" s="11" t="n">
        <v>2</v>
      </c>
      <c r="AV17" s="11">
        <f>AS17-AU17</f>
        <v/>
      </c>
      <c r="AX17" s="11" t="n">
        <v>2</v>
      </c>
      <c r="AY17" s="11">
        <f>AV17-AX17</f>
        <v/>
      </c>
      <c r="BA17" s="11" t="n">
        <v>1</v>
      </c>
      <c r="BB17" s="11">
        <f>AY17-BA17</f>
        <v/>
      </c>
      <c r="BD17" s="11" t="n">
        <v>1</v>
      </c>
      <c r="BE17" s="11">
        <f>BB17-BD17</f>
        <v/>
      </c>
      <c r="BG17" s="11" t="n"/>
      <c r="BH17" s="11">
        <f>BE17-BG17</f>
        <v/>
      </c>
      <c r="BJ17" s="11" t="n"/>
      <c r="BK17" s="11">
        <f>BH17-BJ17</f>
        <v/>
      </c>
      <c r="BM17" s="11" t="n"/>
      <c r="BN17" s="11">
        <f>BK17-BM17</f>
        <v/>
      </c>
      <c r="BP17" s="12">
        <f>H17+K17+N17+Q17+T17+W17+Z17+AC17+AF17+AI17+AL17+AO17+AR17+AU17+AX17+BA17+BD17+BG17+BJ17+BM17</f>
        <v/>
      </c>
      <c r="BQ17" s="12">
        <f>G17-BP17</f>
        <v/>
      </c>
    </row>
    <row r="18">
      <c r="B18" s="11" t="inlineStr">
        <is>
          <t>NSF-S1-004</t>
        </is>
      </c>
      <c r="C18" s="11" t="n"/>
      <c r="D18" s="11" t="inlineStr">
        <is>
          <t>Implementar estados de la cita y confirmación de la reserva</t>
        </is>
      </c>
      <c r="E18" s="11" t="inlineStr">
        <is>
          <t>Daniela Huaiquiñir</t>
        </is>
      </c>
      <c r="F18" s="11" t="inlineStr">
        <is>
          <t>Hecho</t>
        </is>
      </c>
      <c r="G18" s="11" t="n">
        <v>4</v>
      </c>
      <c r="H18" s="11" t="n"/>
      <c r="I18" s="11">
        <f>G18-H18</f>
        <v/>
      </c>
      <c r="K18" s="11" t="n"/>
      <c r="L18" s="11">
        <f>I18-K18</f>
        <v/>
      </c>
      <c r="N18" s="11" t="n"/>
      <c r="O18" s="11">
        <f>L18-N18</f>
        <v/>
      </c>
      <c r="Q18" s="11" t="n"/>
      <c r="R18" s="11">
        <f>O18-Q18</f>
        <v/>
      </c>
      <c r="T18" s="11" t="n"/>
      <c r="U18" s="11">
        <f>R18-T18</f>
        <v/>
      </c>
      <c r="V18" s="21" t="n"/>
      <c r="W18" s="11" t="n"/>
      <c r="X18" s="11">
        <f>U18-W18</f>
        <v/>
      </c>
      <c r="Z18" s="11" t="n"/>
      <c r="AA18" s="11">
        <f>X18-Z18</f>
        <v/>
      </c>
      <c r="AC18" s="11" t="n"/>
      <c r="AD18" s="11">
        <f>AA18-AC18</f>
        <v/>
      </c>
      <c r="AF18" s="11" t="n"/>
      <c r="AG18" s="11">
        <f>AD18-AF18</f>
        <v/>
      </c>
      <c r="AI18" s="11" t="n"/>
      <c r="AJ18" s="11">
        <f>AG18-AI18</f>
        <v/>
      </c>
      <c r="AL18" s="11" t="n"/>
      <c r="AM18" s="11">
        <f>AJ18-AL18</f>
        <v/>
      </c>
      <c r="AO18" s="11" t="n"/>
      <c r="AP18" s="11">
        <f>AM18-AO18</f>
        <v/>
      </c>
      <c r="AR18" s="11" t="n"/>
      <c r="AS18" s="11">
        <f>AP18-AR18</f>
        <v/>
      </c>
      <c r="AU18" s="11" t="n"/>
      <c r="AV18" s="11">
        <f>AS18-AU18</f>
        <v/>
      </c>
      <c r="AX18" s="11" t="n"/>
      <c r="AY18" s="11">
        <f>AV18-AX18</f>
        <v/>
      </c>
      <c r="BA18" s="11" t="n">
        <v>2</v>
      </c>
      <c r="BB18" s="11">
        <f>AY18-BA18</f>
        <v/>
      </c>
      <c r="BD18" s="11" t="n">
        <v>1</v>
      </c>
      <c r="BE18" s="11">
        <f>BB18-BD18</f>
        <v/>
      </c>
      <c r="BG18" s="11" t="n">
        <v>1</v>
      </c>
      <c r="BH18" s="11">
        <f>BE18-BG18</f>
        <v/>
      </c>
      <c r="BJ18" s="11" t="n"/>
      <c r="BK18" s="11">
        <f>BH18-BJ18</f>
        <v/>
      </c>
      <c r="BM18" s="11" t="n"/>
      <c r="BN18" s="11">
        <f>BK18-BM18</f>
        <v/>
      </c>
      <c r="BP18" s="12">
        <f>H18+K18+N18+Q18+T18+W18+Z18+AC18+AF18+AI18+AL18+AO18+AR18+AU18+AX18+BA18+BD18+BG18+BJ18+BM18</f>
        <v/>
      </c>
      <c r="BQ18" s="12">
        <f>G18-BP18</f>
        <v/>
      </c>
    </row>
    <row r="19">
      <c r="B19" s="11" t="inlineStr">
        <is>
          <t>NSF-S1-005</t>
        </is>
      </c>
      <c r="C19" s="11" t="inlineStr">
        <is>
          <t>Como Desarrollador, necesito diseñar y ejecutar pruebas unitarias de autenticación y reservas, con la finalidad de verificar la correcta lógica de negocio.</t>
        </is>
      </c>
      <c r="D19" s="11" t="inlineStr">
        <is>
          <t>Diseñar y ejecutar pruebas unitarias de autenticación</t>
        </is>
      </c>
      <c r="E19" s="11" t="inlineStr">
        <is>
          <t>Alejandra Garrido</t>
        </is>
      </c>
      <c r="F19" s="11" t="inlineStr">
        <is>
          <t>Hecho</t>
        </is>
      </c>
      <c r="G19" s="11" t="n">
        <v>3</v>
      </c>
      <c r="H19" s="11" t="n"/>
      <c r="I19" s="11">
        <f>G19-H19</f>
        <v/>
      </c>
      <c r="K19" s="11" t="n"/>
      <c r="L19" s="11">
        <f>I19-K19</f>
        <v/>
      </c>
      <c r="N19" s="11" t="n"/>
      <c r="O19" s="11">
        <f>L19-N19</f>
        <v/>
      </c>
      <c r="Q19" s="11" t="n"/>
      <c r="R19" s="11">
        <f>O19-Q19</f>
        <v/>
      </c>
      <c r="T19" s="11" t="n"/>
      <c r="U19" s="11">
        <f>R19-T19</f>
        <v/>
      </c>
      <c r="V19" s="21" t="n"/>
      <c r="W19" s="11" t="n"/>
      <c r="X19" s="11">
        <f>U19-W19</f>
        <v/>
      </c>
      <c r="Z19" s="11" t="n"/>
      <c r="AA19" s="11">
        <f>X19-Z19</f>
        <v/>
      </c>
      <c r="AC19" s="11" t="n"/>
      <c r="AD19" s="11">
        <f>AA19-AC19</f>
        <v/>
      </c>
      <c r="AF19" s="11" t="n"/>
      <c r="AG19" s="11">
        <f>AD19-AF19</f>
        <v/>
      </c>
      <c r="AI19" s="11" t="n"/>
      <c r="AJ19" s="11">
        <f>AG19-AI19</f>
        <v/>
      </c>
      <c r="AL19" s="11" t="n"/>
      <c r="AM19" s="11">
        <f>AJ19-AL19</f>
        <v/>
      </c>
      <c r="AO19" s="11" t="n"/>
      <c r="AP19" s="11">
        <f>AM19-AO19</f>
        <v/>
      </c>
      <c r="AR19" s="11" t="n"/>
      <c r="AS19" s="11">
        <f>AP19-AR19</f>
        <v/>
      </c>
      <c r="AU19" s="11" t="n"/>
      <c r="AV19" s="11">
        <f>AS19-AU19</f>
        <v/>
      </c>
      <c r="AX19" s="11" t="n">
        <v>2</v>
      </c>
      <c r="AY19" s="11">
        <f>AV19-AX19</f>
        <v/>
      </c>
      <c r="BA19" s="11" t="n">
        <v>1</v>
      </c>
      <c r="BB19" s="11">
        <f>AY19-BA19</f>
        <v/>
      </c>
      <c r="BD19" s="11" t="n"/>
      <c r="BE19" s="11">
        <f>BB19-BD19</f>
        <v/>
      </c>
      <c r="BG19" s="11" t="n"/>
      <c r="BH19" s="11">
        <f>BE19-BG19</f>
        <v/>
      </c>
      <c r="BJ19" s="11" t="n"/>
      <c r="BK19" s="11">
        <f>BH19-BJ19</f>
        <v/>
      </c>
      <c r="BM19" s="11" t="n"/>
      <c r="BN19" s="11">
        <f>BK19-BM19</f>
        <v/>
      </c>
      <c r="BP19" s="12">
        <f>H19+K19+N19+Q19+T19+W19+Z19+AC19+AF19+AI19+AL19+AO19+AR19+AU19+AX19+BA19+BD19+BG19+BJ19+BM19</f>
        <v/>
      </c>
      <c r="BQ19" s="12">
        <f>G19-BP19</f>
        <v/>
      </c>
    </row>
    <row r="20">
      <c r="B20" s="11" t="inlineStr">
        <is>
          <t>NSF-S1-005</t>
        </is>
      </c>
      <c r="C20" s="11" t="n"/>
      <c r="D20" s="11" t="inlineStr">
        <is>
          <t>Diseñar y ejecutar pruebas unitarias de reservas</t>
        </is>
      </c>
      <c r="E20" s="11" t="inlineStr">
        <is>
          <t>Alejandra Garrido</t>
        </is>
      </c>
      <c r="F20" s="11" t="inlineStr">
        <is>
          <t>Hecho</t>
        </is>
      </c>
      <c r="G20" s="11" t="n">
        <v>2</v>
      </c>
      <c r="H20" s="11" t="n"/>
      <c r="I20" s="11">
        <f>G20-H20</f>
        <v/>
      </c>
      <c r="K20" s="11" t="n"/>
      <c r="L20" s="11">
        <f>I20-K20</f>
        <v/>
      </c>
      <c r="N20" s="11" t="n"/>
      <c r="O20" s="11">
        <f>L20-N20</f>
        <v/>
      </c>
      <c r="Q20" s="11" t="n"/>
      <c r="R20" s="11">
        <f>O20-Q20</f>
        <v/>
      </c>
      <c r="T20" s="11" t="n"/>
      <c r="U20" s="11">
        <f>R20-T20</f>
        <v/>
      </c>
      <c r="V20" s="21" t="n"/>
      <c r="W20" s="11" t="n"/>
      <c r="X20" s="11">
        <f>U20-W20</f>
        <v/>
      </c>
      <c r="Z20" s="11" t="n"/>
      <c r="AA20" s="11">
        <f>X20-Z20</f>
        <v/>
      </c>
      <c r="AC20" s="11" t="n"/>
      <c r="AD20" s="11">
        <f>AA20-AC20</f>
        <v/>
      </c>
      <c r="AF20" s="11" t="n"/>
      <c r="AG20" s="11">
        <f>AD20-AF20</f>
        <v/>
      </c>
      <c r="AI20" s="11" t="n"/>
      <c r="AJ20" s="11">
        <f>AG20-AI20</f>
        <v/>
      </c>
      <c r="AL20" s="11" t="n"/>
      <c r="AM20" s="11">
        <f>AJ20-AL20</f>
        <v/>
      </c>
      <c r="AO20" s="11" t="n"/>
      <c r="AP20" s="11">
        <f>AM20-AO20</f>
        <v/>
      </c>
      <c r="AR20" s="11" t="n"/>
      <c r="AS20" s="11">
        <f>AP20-AR20</f>
        <v/>
      </c>
      <c r="AU20" s="11" t="n"/>
      <c r="AV20" s="11">
        <f>AS20-AU20</f>
        <v/>
      </c>
      <c r="AX20" s="11" t="n"/>
      <c r="AY20" s="11">
        <f>AV20-AX20</f>
        <v/>
      </c>
      <c r="BA20" s="11" t="n"/>
      <c r="BB20" s="11">
        <f>AY20-BA20</f>
        <v/>
      </c>
      <c r="BD20" s="11" t="n"/>
      <c r="BE20" s="11">
        <f>BB20-BD20</f>
        <v/>
      </c>
      <c r="BG20" s="11" t="n">
        <v>1</v>
      </c>
      <c r="BH20" s="11">
        <f>BE20-BG20</f>
        <v/>
      </c>
      <c r="BJ20" s="11" t="n">
        <v>1</v>
      </c>
      <c r="BK20" s="11">
        <f>BH20-BJ20</f>
        <v/>
      </c>
      <c r="BM20" s="11" t="n"/>
      <c r="BN20" s="11">
        <f>BK20-BM20</f>
        <v/>
      </c>
      <c r="BP20" s="12">
        <f>H20+K20+N20+Q20+T20+W20+Z20+AC20+AF20+AI20+AL20+AO20+AR20+AU20+AX20+BA20+BD20+BG20+BJ20+BM20</f>
        <v/>
      </c>
      <c r="BQ20" s="12">
        <f>G20-BP20</f>
        <v/>
      </c>
    </row>
    <row r="21">
      <c r="B21" s="11" t="inlineStr">
        <is>
          <t>NSF-S1-006</t>
        </is>
      </c>
      <c r="C21" s="11" t="inlineStr">
        <is>
          <t>Como Equipo de Proyecto, necesito registrar las evidencias de la retrospectiva del Sprint 1, con la finalidad de analizar mejoras en el proceso de desarrollo.</t>
        </is>
      </c>
      <c r="D21" s="11" t="inlineStr">
        <is>
          <t>Realizar reunión de retrospectiva del Sprint 1</t>
        </is>
      </c>
      <c r="E21" s="11" t="inlineStr">
        <is>
          <t>Daniela Huaiquiñir</t>
        </is>
      </c>
      <c r="F21" s="11" t="inlineStr">
        <is>
          <t>Hecho</t>
        </is>
      </c>
      <c r="G21" s="11" t="n">
        <v>2</v>
      </c>
      <c r="H21" s="11" t="n"/>
      <c r="I21" s="11">
        <f>G21-H21</f>
        <v/>
      </c>
      <c r="K21" s="11" t="n"/>
      <c r="L21" s="11">
        <f>I21-K21</f>
        <v/>
      </c>
      <c r="N21" s="11" t="n"/>
      <c r="O21" s="11">
        <f>L21-N21</f>
        <v/>
      </c>
      <c r="Q21" s="11" t="n"/>
      <c r="R21" s="11">
        <f>O21-Q21</f>
        <v/>
      </c>
      <c r="T21" s="11" t="n"/>
      <c r="U21" s="11">
        <f>R21-T21</f>
        <v/>
      </c>
      <c r="V21" s="21" t="n"/>
      <c r="W21" s="11" t="n"/>
      <c r="X21" s="11">
        <f>U21-W21</f>
        <v/>
      </c>
      <c r="Z21" s="11" t="n"/>
      <c r="AA21" s="11">
        <f>X21-Z21</f>
        <v/>
      </c>
      <c r="AC21" s="11" t="n"/>
      <c r="AD21" s="11">
        <f>AA21-AC21</f>
        <v/>
      </c>
      <c r="AF21" s="11" t="n"/>
      <c r="AG21" s="11">
        <f>AD21-AF21</f>
        <v/>
      </c>
      <c r="AI21" s="11" t="n"/>
      <c r="AJ21" s="11">
        <f>AG21-AI21</f>
        <v/>
      </c>
      <c r="AL21" s="11" t="n"/>
      <c r="AM21" s="11">
        <f>AJ21-AL21</f>
        <v/>
      </c>
      <c r="AO21" s="11" t="n"/>
      <c r="AP21" s="11">
        <f>AM21-AO21</f>
        <v/>
      </c>
      <c r="AR21" s="11" t="n"/>
      <c r="AS21" s="11">
        <f>AP21-AR21</f>
        <v/>
      </c>
      <c r="AU21" s="11" t="n"/>
      <c r="AV21" s="11">
        <f>AS21-AU21</f>
        <v/>
      </c>
      <c r="AX21" s="11" t="n"/>
      <c r="AY21" s="11">
        <f>AV21-AX21</f>
        <v/>
      </c>
      <c r="BA21" s="11" t="n"/>
      <c r="BB21" s="11">
        <f>AY21-BA21</f>
        <v/>
      </c>
      <c r="BD21" s="11" t="n"/>
      <c r="BE21" s="11">
        <f>BB21-BD21</f>
        <v/>
      </c>
      <c r="BG21" s="11" t="n"/>
      <c r="BH21" s="11">
        <f>BE21-BG21</f>
        <v/>
      </c>
      <c r="BJ21" s="11" t="n">
        <v>2</v>
      </c>
      <c r="BK21" s="11">
        <f>BH21-BJ21</f>
        <v/>
      </c>
      <c r="BM21" s="11" t="n"/>
      <c r="BN21" s="11">
        <f>BK21-BM21</f>
        <v/>
      </c>
      <c r="BP21" s="12">
        <f>H21+K21+N21+Q21+T21+W21+Z21+AC21+AF21+AI21+AL21+AO21+AR21+AU21+AX21+BA21+BD21+BG21+BJ21+BM21</f>
        <v/>
      </c>
      <c r="BQ21" s="12">
        <f>G21-BP21</f>
        <v/>
      </c>
    </row>
    <row r="22">
      <c r="B22" s="11" t="inlineStr">
        <is>
          <t>NSF-S1-006</t>
        </is>
      </c>
      <c r="C22" s="11" t="n"/>
      <c r="D22" s="11" t="inlineStr">
        <is>
          <t>Registrar evidencias y lecciones aprendidas</t>
        </is>
      </c>
      <c r="E22" s="11" t="inlineStr">
        <is>
          <t>Daniela Huaiquiñir</t>
        </is>
      </c>
      <c r="F22" s="11" t="inlineStr">
        <is>
          <t>Hecho</t>
        </is>
      </c>
      <c r="G22" s="11" t="n">
        <v>3</v>
      </c>
      <c r="H22" s="11" t="n"/>
      <c r="I22" s="11">
        <f>G22-H22</f>
        <v/>
      </c>
      <c r="K22" s="11" t="n"/>
      <c r="L22" s="11">
        <f>I22-K22</f>
        <v/>
      </c>
      <c r="N22" s="11" t="n"/>
      <c r="O22" s="11">
        <f>L22-N22</f>
        <v/>
      </c>
      <c r="Q22" s="11" t="n"/>
      <c r="R22" s="11">
        <f>O22-Q22</f>
        <v/>
      </c>
      <c r="T22" s="11" t="n"/>
      <c r="U22" s="11">
        <f>R22-T22</f>
        <v/>
      </c>
      <c r="V22" s="22" t="n"/>
      <c r="W22" s="11" t="n"/>
      <c r="X22" s="11">
        <f>U22-W22</f>
        <v/>
      </c>
      <c r="Z22" s="11" t="n"/>
      <c r="AA22" s="11">
        <f>X22-Z22</f>
        <v/>
      </c>
      <c r="AC22" s="11" t="n"/>
      <c r="AD22" s="11">
        <f>AA22-AC22</f>
        <v/>
      </c>
      <c r="AF22" s="11" t="n"/>
      <c r="AG22" s="11">
        <f>AD22-AF22</f>
        <v/>
      </c>
      <c r="AI22" s="11" t="n"/>
      <c r="AJ22" s="11">
        <f>AG22-AI22</f>
        <v/>
      </c>
      <c r="AL22" s="11" t="n"/>
      <c r="AM22" s="11">
        <f>AJ22-AL22</f>
        <v/>
      </c>
      <c r="AO22" s="11" t="n"/>
      <c r="AP22" s="11">
        <f>AM22-AO22</f>
        <v/>
      </c>
      <c r="AR22" s="11" t="n"/>
      <c r="AS22" s="11">
        <f>AP22-AR22</f>
        <v/>
      </c>
      <c r="AU22" s="11" t="n"/>
      <c r="AV22" s="11">
        <f>AS22-AU22</f>
        <v/>
      </c>
      <c r="AX22" s="11" t="n"/>
      <c r="AY22" s="11">
        <f>AV22-AX22</f>
        <v/>
      </c>
      <c r="BA22" s="11" t="n"/>
      <c r="BB22" s="11">
        <f>AY22-BA22</f>
        <v/>
      </c>
      <c r="BD22" s="11" t="n"/>
      <c r="BE22" s="11">
        <f>BB22-BD22</f>
        <v/>
      </c>
      <c r="BG22" s="11" t="n"/>
      <c r="BH22" s="11">
        <f>BE22-BG22</f>
        <v/>
      </c>
      <c r="BJ22" s="11" t="n">
        <v>2</v>
      </c>
      <c r="BK22" s="11">
        <f>BH22-BJ22</f>
        <v/>
      </c>
      <c r="BM22" s="11" t="n">
        <v>1</v>
      </c>
      <c r="BN22" s="11">
        <f>BK22-BM22</f>
        <v/>
      </c>
      <c r="BP22" s="12">
        <f>H22+K22+N22+Q22+T22+W22+Z22+AC22+AF22+AI22+AL22+AO22+AR22+AU22+AX22+BA22+BD22+BG22+BJ22+BM22</f>
        <v/>
      </c>
      <c r="BQ22" s="12">
        <f>G22-BP22</f>
        <v/>
      </c>
    </row>
  </sheetData>
  <mergeCells count="42">
    <mergeCell ref="W4:X4"/>
    <mergeCell ref="AX4:AY4"/>
    <mergeCell ref="M4:M22"/>
    <mergeCell ref="BJ4:BK4"/>
    <mergeCell ref="BO4:BO22"/>
    <mergeCell ref="Y4:Y22"/>
    <mergeCell ref="P4:P22"/>
    <mergeCell ref="H4:I4"/>
    <mergeCell ref="B2:J2"/>
    <mergeCell ref="AU4:AV4"/>
    <mergeCell ref="T4:U4"/>
    <mergeCell ref="AF4:AG4"/>
    <mergeCell ref="AE4:AE22"/>
    <mergeCell ref="BP4:BQ4"/>
    <mergeCell ref="BG4:BH4"/>
    <mergeCell ref="AK4:AK22"/>
    <mergeCell ref="V4:V22"/>
    <mergeCell ref="AB4:AB22"/>
    <mergeCell ref="AN4:AN22"/>
    <mergeCell ref="AH4:AH22"/>
    <mergeCell ref="AR4:AS4"/>
    <mergeCell ref="Q4:R4"/>
    <mergeCell ref="AC4:AD4"/>
    <mergeCell ref="AI4:AJ4"/>
    <mergeCell ref="BD4:BE4"/>
    <mergeCell ref="AW4:AW22"/>
    <mergeCell ref="AZ4:AZ22"/>
    <mergeCell ref="J4:J22"/>
    <mergeCell ref="AT4:AT22"/>
    <mergeCell ref="AQ4:AQ22"/>
    <mergeCell ref="AO4:AP4"/>
    <mergeCell ref="BA4:BB4"/>
    <mergeCell ref="Z4:AA4"/>
    <mergeCell ref="BF4:BF22"/>
    <mergeCell ref="BL4:BL22"/>
    <mergeCell ref="AL4:AM4"/>
    <mergeCell ref="BM4:BN4"/>
    <mergeCell ref="BC4:BC22"/>
    <mergeCell ref="BI4:BI22"/>
    <mergeCell ref="S4:S22"/>
    <mergeCell ref="K4:L4"/>
    <mergeCell ref="N4:O4"/>
  </mergeCells>
  <pageMargins left="0.6299212598425197" right="0.6299212598425197" top="0.7480314960629921" bottom="0.7480314960629921" header="0.3149606299212598" footer="0.3149606299212598"/>
  <pageSetup orientation="landscape" scale="69"/>
  <colBreaks count="4" manualBreakCount="4">
    <brk id="21" min="0" max="18" man="1"/>
    <brk id="36" min="0" max="18" man="1"/>
    <brk id="52" min="0" max="18" man="1"/>
    <brk id="69" min="0" max="18" man="1"/>
  </colBreaks>
</worksheet>
</file>

<file path=xl/worksheets/sheet2.xml><?xml version="1.0" encoding="utf-8"?>
<worksheet xmlns="http://schemas.openxmlformats.org/spreadsheetml/2006/main">
  <sheetPr>
    <outlinePr summaryBelow="1" summaryRight="1"/>
    <pageSetUpPr/>
  </sheetPr>
  <dimension ref="B2:C14"/>
  <sheetViews>
    <sheetView view="pageBreakPreview" zoomScaleSheetLayoutView="100" workbookViewId="0">
      <selection activeCell="H5" sqref="H5"/>
    </sheetView>
  </sheetViews>
  <sheetFormatPr baseColWidth="10" defaultRowHeight="15"/>
  <cols>
    <col width="1.5703125" customWidth="1" style="1" min="1" max="1"/>
    <col width="21.5703125" customWidth="1" style="1" min="2" max="2"/>
    <col width="86" customWidth="1" style="1" min="3" max="3"/>
    <col width="2.85546875" customWidth="1" style="1" min="4" max="4"/>
    <col width="11.42578125" customWidth="1" style="1" min="5" max="16384"/>
  </cols>
  <sheetData>
    <row r="2" ht="28.5" customHeight="1">
      <c r="B2" s="3" t="inlineStr">
        <is>
          <t>Lista de tareas de la iteración (Product Backlog): Instructivo</t>
        </is>
      </c>
      <c r="C2" s="18" t="n"/>
    </row>
    <row r="4">
      <c r="B4" s="16" t="inlineStr">
        <is>
          <t>Columna</t>
        </is>
      </c>
      <c r="C4" s="16" t="inlineStr">
        <is>
          <t>Instrucciones</t>
        </is>
      </c>
    </row>
    <row r="5" ht="30" customHeight="1">
      <c r="B5" s="11">
        <f>'Historias de usuario'!B5</f>
        <v/>
      </c>
      <c r="C5" s="15" t="inlineStr">
        <is>
          <t>Código que hace referencia al elemento de la pila de producto (Product Backlog) al cual la tarea de la iteración hace referencia.</t>
        </is>
      </c>
    </row>
    <row r="6" ht="45" customHeight="1">
      <c r="B6" s="11">
        <f>'Historias de usuario'!C5</f>
        <v/>
      </c>
      <c r="C6" s="15" t="inlineStr">
        <is>
          <t>Enunciado o nombre del elemento de pila de producto (Product Backlog). En la mayoría de los casos, el nombre asignado al elemento de product backlog es el mismo de la historia de usuario.</t>
        </is>
      </c>
    </row>
    <row r="7" ht="60" customHeight="1">
      <c r="B7" s="11" t="inlineStr">
        <is>
          <t>Tarea</t>
        </is>
      </c>
      <c r="C7" s="15" t="inlineStr">
        <is>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is>
      </c>
    </row>
    <row r="8" ht="75" customHeight="1">
      <c r="B8" s="11" t="inlineStr">
        <is>
          <t>Dueño / Voluntario</t>
        </is>
      </c>
      <c r="C8" s="15"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row>
    <row r="9" ht="60" customHeight="1">
      <c r="B9" s="11" t="inlineStr">
        <is>
          <t>Estatus</t>
        </is>
      </c>
      <c r="C9" s="15" t="inlineStr">
        <is>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is>
      </c>
    </row>
    <row r="10" ht="45" customHeight="1">
      <c r="B10" s="11" t="inlineStr">
        <is>
          <t>Horas estimadas totales</t>
        </is>
      </c>
      <c r="C10" s="15" t="inlineStr">
        <is>
          <t>Horas que han sido estimadas por el equipo Scrum que serán necesarias para ejecutar la tarea. La asignación de estimados se realiza durante la reunión de planificación de la iteración (Sprint Planning Meeting).</t>
        </is>
      </c>
    </row>
    <row r="11" ht="30" customHeight="1">
      <c r="B11" s="11" t="inlineStr">
        <is>
          <t>Día 1 …. Día n</t>
        </is>
      </c>
      <c r="C11" s="15" t="inlineStr">
        <is>
          <t>Una vez comienza a ejecutarse la iteración, se utilizan las columnas para llevar un registro de las horas que se han consumido en cada tarea y cuantas horas restan para completarla.</t>
        </is>
      </c>
    </row>
    <row r="12">
      <c r="B12" s="11" t="inlineStr">
        <is>
          <t>Cons.</t>
        </is>
      </c>
      <c r="C12" s="15" t="inlineStr">
        <is>
          <t>Horas consumidas en la tarea en el día especificado.</t>
        </is>
      </c>
    </row>
    <row r="13" ht="45" customHeight="1">
      <c r="B13" s="11" t="inlineStr">
        <is>
          <t>Rest.</t>
        </is>
      </c>
      <c r="C13" s="15" t="inlineStr">
        <is>
          <t>Horas que restan luego de registrarse el consumo diario. Se calcula tomando las horas que restaban el día anterior y se resta las horas consumidas en el día. Si se trata del primer día, se restan las horas del día 1 al estimado de horas totales.</t>
        </is>
      </c>
    </row>
    <row r="14" ht="30" customHeight="1">
      <c r="B14" s="11" t="inlineStr">
        <is>
          <t>Total</t>
        </is>
      </c>
      <c r="C14" s="15" t="inlineStr">
        <is>
          <t>Registra la suma de todas las horas consumidas en el Sprint y las horas que restan finalmente. Las horas restantes deberían ser de cero si se logro ejecutar la tarea en su totalidad.</t>
        </is>
      </c>
    </row>
  </sheetData>
  <mergeCells count="1">
    <mergeCell ref="B2:C2"/>
  </mergeCells>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2026-10-15T20:35:22Z</dcterms:modified>
  <cp:lastModifiedBy>Danny</cp:lastModifiedBy>
  <cp:lastPrinted>2016-11-01T15:27:35Z</cp:lastPrinted>
</cp:coreProperties>
</file>