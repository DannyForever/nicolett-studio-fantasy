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mdol\Documents\Estudios\Duoc UC\8. Capstone\Proyecto\Documentación\Burndown charts\"/>
    </mc:Choice>
  </mc:AlternateContent>
  <xr:revisionPtr revIDLastSave="0" documentId="13_ncr:1_{1F8E0982-3718-4BEF-98F6-66932AEF79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F CHART 20 DÍ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6HLAwubIYf43/L3ZEye3oQCpakahMA1WvScUxZonK/U="/>
    </ext>
  </extLst>
</workbook>
</file>

<file path=xl/calcChain.xml><?xml version="1.0" encoding="utf-8"?>
<calcChain xmlns="http://schemas.openxmlformats.org/spreadsheetml/2006/main">
  <c r="X9" i="1" l="1"/>
  <c r="X10" i="1"/>
  <c r="X11" i="1"/>
  <c r="X6" i="1"/>
  <c r="D15" i="1" l="1"/>
  <c r="E15" i="1" s="1"/>
  <c r="C15" i="1"/>
  <c r="C16" i="1" s="1"/>
  <c r="C13" i="1"/>
  <c r="D13" i="1" s="1"/>
  <c r="X8" i="1"/>
  <c r="X7" i="1"/>
  <c r="C14" i="1" l="1"/>
  <c r="E13" i="1"/>
  <c r="D16" i="1"/>
  <c r="F15" i="1"/>
  <c r="E16" i="1" l="1"/>
  <c r="G15" i="1"/>
  <c r="F13" i="1"/>
  <c r="D14" i="1"/>
  <c r="G13" i="1" l="1"/>
  <c r="E14" i="1"/>
  <c r="F16" i="1"/>
  <c r="H15" i="1"/>
  <c r="G16" i="1" l="1"/>
  <c r="I15" i="1"/>
  <c r="F14" i="1"/>
  <c r="H13" i="1"/>
  <c r="G14" i="1" l="1"/>
  <c r="I13" i="1"/>
  <c r="H16" i="1"/>
  <c r="J15" i="1"/>
  <c r="K15" i="1" l="1"/>
  <c r="I16" i="1"/>
  <c r="H14" i="1"/>
  <c r="J13" i="1"/>
  <c r="I14" i="1" l="1"/>
  <c r="K13" i="1"/>
  <c r="L15" i="1"/>
  <c r="J16" i="1"/>
  <c r="K16" i="1" l="1"/>
  <c r="M15" i="1"/>
  <c r="L13" i="1"/>
  <c r="J14" i="1"/>
  <c r="M13" i="1" l="1"/>
  <c r="K14" i="1"/>
  <c r="N15" i="1"/>
  <c r="L16" i="1"/>
  <c r="O15" i="1" l="1"/>
  <c r="M16" i="1"/>
  <c r="N13" i="1"/>
  <c r="L14" i="1"/>
  <c r="P15" i="1" l="1"/>
  <c r="N16" i="1"/>
  <c r="O13" i="1"/>
  <c r="M14" i="1"/>
  <c r="N14" i="1" l="1"/>
  <c r="P13" i="1"/>
  <c r="Q15" i="1"/>
  <c r="O16" i="1"/>
  <c r="R15" i="1" l="1"/>
  <c r="P16" i="1"/>
  <c r="O14" i="1"/>
  <c r="Q13" i="1"/>
  <c r="P14" i="1" l="1"/>
  <c r="R13" i="1"/>
  <c r="Q16" i="1"/>
  <c r="S15" i="1"/>
  <c r="R16" i="1" l="1"/>
  <c r="T15" i="1"/>
  <c r="Q14" i="1"/>
  <c r="S13" i="1"/>
  <c r="R14" i="1" l="1"/>
  <c r="T13" i="1"/>
  <c r="S16" i="1"/>
  <c r="U15" i="1"/>
  <c r="T16" i="1" l="1"/>
  <c r="V15" i="1"/>
  <c r="S14" i="1"/>
  <c r="U13" i="1"/>
  <c r="V13" i="1" l="1"/>
  <c r="T14" i="1"/>
  <c r="U16" i="1"/>
  <c r="W15" i="1"/>
  <c r="W13" i="1" l="1"/>
  <c r="U14" i="1"/>
  <c r="V16" i="1"/>
  <c r="X15" i="1"/>
  <c r="W16" i="1" s="1"/>
  <c r="V14" i="1" l="1"/>
  <c r="X13" i="1"/>
  <c r="W14" i="1" s="1"/>
</calcChain>
</file>

<file path=xl/sharedStrings.xml><?xml version="1.0" encoding="utf-8"?>
<sst xmlns="http://schemas.openxmlformats.org/spreadsheetml/2006/main" count="13" uniqueCount="13">
  <si>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</si>
  <si>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</si>
  <si>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</si>
  <si>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</si>
  <si>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</si>
  <si>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</si>
  <si>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Control de FASE FINAL de 20 días</t>
  </si>
  <si>
    <t>FF-T1 (Manual técnico y guía despliegue)</t>
  </si>
  <si>
    <t>FF-T2 (Acta de cierre)</t>
  </si>
  <si>
    <t>FF-T3 (Auditoría de GitHub)</t>
  </si>
  <si>
    <t>FF-T4 (Validación de aceptación)</t>
  </si>
  <si>
    <t>FF-T5 (Despliegue en producción)</t>
  </si>
  <si>
    <t>FF-T6 (Entrega del proyecto)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</si>
</sst>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6"/>
      <color theme="1"/>
      <name val="Calibri"/>
      <family val="2"/>
    </font>
    <font>
      <b/>
      <sz val="16"/>
      <color rgb="FFA76B3D"/>
      <name val="Montserrat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1F1F1F"/>
      <name val="&quot;Google Sans Text&quot;"/>
    </font>
    <font>
      <b/>
      <sz val="11"/>
      <color rgb="FF1F1F1F"/>
      <name val="&quot;Google Sans Text&quot;"/>
    </font>
  </fonts>
  <fills count="8">
    <fill>
      <patternFill patternType="none"/>
    </fill>
    <fill>
      <patternFill patternType="gray125"/>
    </fill>
    <fill>
      <patternFill patternType="solid">
        <fgColor rgb="FFA76B3D"/>
        <bgColor rgb="FFA76B3D"/>
      </patternFill>
    </fill>
    <fill>
      <patternFill patternType="solid">
        <fgColor rgb="FFC99369"/>
        <bgColor rgb="FFC99369"/>
      </patternFill>
    </fill>
    <fill>
      <patternFill patternType="solid">
        <fgColor rgb="FFFFE2CE"/>
        <bgColor rgb="FFFFE2CE"/>
      </patternFill>
    </fill>
    <fill>
      <patternFill patternType="solid">
        <fgColor rgb="FFDFB696"/>
        <bgColor rgb="FFDFB696"/>
      </patternFill>
    </fill>
    <fill>
      <patternFill patternType="solid">
        <fgColor rgb="FFED7D31"/>
        <bgColor rgb="FFED7D31"/>
      </patternFill>
    </fill>
    <fill>
      <patternFill patternType="solid">
        <fgColor rgb="FFF0C1AE"/>
        <bgColor rgb="FFF0C1AE"/>
      </patternFill>
    </fill>
  </fills>
  <borders count="14">
    <border>
      <left/>
      <right/>
      <top/>
      <bottom/>
      <diagonal/>
    </border>
    <border>
      <left style="thin">
        <color rgb="FF613615"/>
      </left>
      <right style="thin">
        <color rgb="FF613615"/>
      </right>
      <top style="thin">
        <color rgb="FF613615"/>
      </top>
      <bottom/>
      <diagonal/>
    </border>
    <border>
      <left style="thin">
        <color rgb="FF613615"/>
      </left>
      <right/>
      <top style="thin">
        <color rgb="FF613615"/>
      </top>
      <bottom style="thin">
        <color rgb="FF613615"/>
      </bottom>
      <diagonal/>
    </border>
    <border>
      <left/>
      <right/>
      <top style="thin">
        <color rgb="FF613615"/>
      </top>
      <bottom style="thin">
        <color rgb="FF613615"/>
      </bottom>
      <diagonal/>
    </border>
    <border>
      <left/>
      <right style="thin">
        <color rgb="FF613615"/>
      </right>
      <top style="thin">
        <color rgb="FF613615"/>
      </top>
      <bottom style="thin">
        <color rgb="FF613615"/>
      </bottom>
      <diagonal/>
    </border>
    <border>
      <left style="thin">
        <color rgb="FF613615"/>
      </left>
      <right style="thin">
        <color rgb="FF613615"/>
      </right>
      <top/>
      <bottom style="thin">
        <color rgb="FF613615"/>
      </bottom>
      <diagonal/>
    </border>
    <border>
      <left style="thin">
        <color rgb="FF613615"/>
      </left>
      <right style="thin">
        <color rgb="FF613615"/>
      </right>
      <top style="thin">
        <color rgb="FF613615"/>
      </top>
      <bottom style="thin">
        <color rgb="FF613615"/>
      </bottom>
      <diagonal/>
    </border>
    <border>
      <left style="thin">
        <color rgb="FF613615"/>
      </left>
      <right style="thin">
        <color rgb="FF613615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613615"/>
      </right>
      <top/>
      <bottom/>
      <diagonal/>
    </border>
    <border>
      <left style="thin">
        <color rgb="FF613615"/>
      </left>
      <right/>
      <top/>
      <bottom/>
      <diagonal/>
    </border>
    <border>
      <left style="thin">
        <color rgb="FF613615"/>
      </left>
      <right style="thin">
        <color rgb="FF613615"/>
      </right>
      <top/>
      <bottom style="thin">
        <color theme="5" tint="-0.49998474074526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3" fillId="0" borderId="1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613615"/>
                </a:solidFill>
                <a:latin typeface="Montserrat"/>
              </a:defRPr>
            </a:pPr>
            <a:r>
              <a:rPr lang="es-ES" sz="1600" b="1" i="0">
                <a:solidFill>
                  <a:srgbClr val="613615"/>
                </a:solidFill>
                <a:latin typeface="Montserra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6"/>
          <c:order val="6"/>
          <c:tx>
            <c:v>Horas estimadas de producto por realizar</c:v>
          </c:tx>
          <c:spPr>
            <a:ln w="38100" cmpd="sng">
              <a:solidFill>
                <a:srgbClr val="FFE2CE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numRef>
              <c:f>'FF CHART 20 DÍAS'!$D$5:$W$5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'FF CHART 20 DÍAS'!$C$16:$W$16</c:f>
              <c:numCache>
                <c:formatCode>General</c:formatCode>
                <c:ptCount val="21"/>
                <c:pt idx="0">
                  <c:v>50</c:v>
                </c:pt>
                <c:pt idx="1">
                  <c:v>47.5</c:v>
                </c:pt>
                <c:pt idx="2">
                  <c:v>45</c:v>
                </c:pt>
                <c:pt idx="3">
                  <c:v>42.5</c:v>
                </c:pt>
                <c:pt idx="4">
                  <c:v>40</c:v>
                </c:pt>
                <c:pt idx="5">
                  <c:v>37.5</c:v>
                </c:pt>
                <c:pt idx="6">
                  <c:v>35</c:v>
                </c:pt>
                <c:pt idx="7">
                  <c:v>32.5</c:v>
                </c:pt>
                <c:pt idx="8">
                  <c:v>30</c:v>
                </c:pt>
                <c:pt idx="9">
                  <c:v>27.5</c:v>
                </c:pt>
                <c:pt idx="10">
                  <c:v>25</c:v>
                </c:pt>
                <c:pt idx="11">
                  <c:v>22.5</c:v>
                </c:pt>
                <c:pt idx="12">
                  <c:v>20</c:v>
                </c:pt>
                <c:pt idx="13">
                  <c:v>17.5</c:v>
                </c:pt>
                <c:pt idx="14">
                  <c:v>15</c:v>
                </c:pt>
                <c:pt idx="15">
                  <c:v>12.5</c:v>
                </c:pt>
                <c:pt idx="16">
                  <c:v>10</c:v>
                </c:pt>
                <c:pt idx="17">
                  <c:v>7.5</c:v>
                </c:pt>
                <c:pt idx="18">
                  <c:v>5</c:v>
                </c:pt>
                <c:pt idx="19">
                  <c:v>2.5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76A-45F1-9140-B80A3715D3B3}"/>
            </c:ext>
          </c:extLst>
        </c:ser>
        <c:ser>
          <c:idx val="7"/>
          <c:order val="7"/>
          <c:tx>
            <c:v>Horas reales de producto por realizar</c:v>
          </c:tx>
          <c:spPr>
            <a:ln w="38100" cmpd="sng">
              <a:solidFill>
                <a:srgbClr val="F2A46F"/>
              </a:solidFill>
            </a:ln>
          </c:spPr>
          <c:marker>
            <c:symbol val="none"/>
          </c:marker>
          <c:cat>
            <c:numRef>
              <c:f>'FF CHART 20 DÍAS'!$D$5:$W$5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'FF CHART 20 DÍAS'!$C$14:$W$14</c:f>
              <c:numCache>
                <c:formatCode>General</c:formatCode>
                <c:ptCount val="21"/>
                <c:pt idx="0">
                  <c:v>50</c:v>
                </c:pt>
                <c:pt idx="1">
                  <c:v>48</c:v>
                </c:pt>
                <c:pt idx="2">
                  <c:v>45</c:v>
                </c:pt>
                <c:pt idx="3">
                  <c:v>43</c:v>
                </c:pt>
                <c:pt idx="4">
                  <c:v>39</c:v>
                </c:pt>
                <c:pt idx="5">
                  <c:v>36</c:v>
                </c:pt>
                <c:pt idx="6">
                  <c:v>33</c:v>
                </c:pt>
                <c:pt idx="7">
                  <c:v>31</c:v>
                </c:pt>
                <c:pt idx="8">
                  <c:v>28</c:v>
                </c:pt>
                <c:pt idx="9">
                  <c:v>26</c:v>
                </c:pt>
                <c:pt idx="10">
                  <c:v>23</c:v>
                </c:pt>
                <c:pt idx="11">
                  <c:v>19</c:v>
                </c:pt>
                <c:pt idx="12">
                  <c:v>18</c:v>
                </c:pt>
                <c:pt idx="13">
                  <c:v>17</c:v>
                </c:pt>
                <c:pt idx="14">
                  <c:v>15</c:v>
                </c:pt>
                <c:pt idx="15">
                  <c:v>13</c:v>
                </c:pt>
                <c:pt idx="16">
                  <c:v>12</c:v>
                </c:pt>
                <c:pt idx="17">
                  <c:v>8</c:v>
                </c:pt>
                <c:pt idx="18">
                  <c:v>5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76A-45F1-9140-B80A3715D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763683"/>
        <c:axId val="35667883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38100" cmpd="sng">
                    <a:solidFill>
                      <a:srgbClr val="E06666">
                        <a:alpha val="100000"/>
                      </a:srgbClr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'FF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'FF CHART 20 DÍAS'!$D$6:$W$6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076A-45F1-9140-B80A3715D3B3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38100" cmpd="sng">
                    <a:solidFill>
                      <a:srgbClr val="8E7CC3">
                        <a:alpha val="100000"/>
                      </a:srgbClr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'FF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'FF CHART 20 DÍAS'!$D$7:$W$7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6A-45F1-9140-B80A3715D3B3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cmpd="sng">
                    <a:solidFill>
                      <a:srgbClr val="A5A5A5">
                        <a:alpha val="100000"/>
                      </a:srgbClr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'FF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'FF CHART 20 DÍAS'!$D$8:$W$8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2</c:v>
                      </c:pt>
                      <c:pt idx="10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6A-45F1-9140-B80A3715D3B3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cmpd="sng">
                    <a:solidFill>
                      <a:srgbClr val="FFC000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'FF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'FF CHART 20 DÍAS'!$D$10:$W$10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76A-45F1-9140-B80A3715D3B3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cmpd="sng">
                    <a:solidFill>
                      <a:srgbClr val="4472C4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'FF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CHART 20 DÍAS'!#REF!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6A-45F1-9140-B80A3715D3B3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cmpd="sng">
                    <a:solidFill>
                      <a:srgbClr val="70AD47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'FF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 CHART 20 DÍAS'!#REF!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76A-45F1-9140-B80A3715D3B3}"/>
                  </c:ext>
                </c:extLst>
              </c15:ser>
            </c15:filteredLineSeries>
          </c:ext>
        </c:extLst>
      </c:lineChart>
      <c:catAx>
        <c:axId val="744763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613615"/>
                    </a:solidFill>
                    <a:latin typeface="Montserrat"/>
                  </a:defRPr>
                </a:pPr>
                <a:r>
                  <a:rPr lang="es-ES" sz="1000" b="1" i="0">
                    <a:solidFill>
                      <a:srgbClr val="613615"/>
                    </a:solidFill>
                    <a:latin typeface="Montserra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56678833"/>
        <c:crosses val="autoZero"/>
        <c:auto val="1"/>
        <c:lblAlgn val="ctr"/>
        <c:lblOffset val="100"/>
        <c:noMultiLvlLbl val="1"/>
      </c:catAx>
      <c:valAx>
        <c:axId val="356678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613615"/>
                    </a:solidFill>
                    <a:latin typeface="Montserrat"/>
                  </a:defRPr>
                </a:pPr>
                <a:r>
                  <a:rPr lang="es-ES" sz="1000" b="1" i="0">
                    <a:solidFill>
                      <a:srgbClr val="613615"/>
                    </a:solidFill>
                    <a:latin typeface="Montserra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4476368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219075</xdr:colOff>
      <xdr:row>2</xdr:row>
      <xdr:rowOff>171450</xdr:rowOff>
    </xdr:from>
    <xdr:ext cx="3562350" cy="5953125"/>
    <xdr:graphicFrame macro="">
      <xdr:nvGraphicFramePr>
        <xdr:cNvPr id="734700866" name="Chart 1" title="Gráfico">
          <a:extLst>
            <a:ext uri="{FF2B5EF4-FFF2-40B4-BE49-F238E27FC236}">
              <a16:creationId xmlns:a16="http://schemas.microsoft.com/office/drawing/2014/main" id="{00000000-0008-0000-0000-000042A5C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76B3D"/>
  </sheetPr>
  <dimension ref="A1:AE987"/>
  <sheetViews>
    <sheetView showGridLines="0" tabSelected="1" zoomScaleNormal="100" workbookViewId="0">
      <selection activeCell="P25" sqref="P25"/>
    </sheetView>
  </sheetViews>
  <sheetFormatPr baseColWidth="10" defaultColWidth="14.42578125" defaultRowHeight="15" customHeight="1"/>
  <cols>
    <col min="1" max="1" width="10.7109375" customWidth="1"/>
    <col min="2" max="2" width="45.7109375" customWidth="1"/>
    <col min="3" max="3" width="17" customWidth="1"/>
    <col min="4" max="23" width="5.140625" customWidth="1"/>
    <col min="24" max="31" width="10.7109375" customWidth="1"/>
  </cols>
  <sheetData>
    <row r="1" spans="1:3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31" ht="14.25" customHeight="1">
      <c r="A2" s="1"/>
      <c r="B2" s="32" t="s">
        <v>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31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1" ht="14.25" customHeight="1">
      <c r="A4" s="4"/>
      <c r="B4" s="27" t="s">
        <v>0</v>
      </c>
      <c r="C4" s="27" t="s">
        <v>1</v>
      </c>
      <c r="D4" s="29" t="s">
        <v>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1"/>
      <c r="X4" s="27" t="s">
        <v>3</v>
      </c>
    </row>
    <row r="5" spans="1:31" ht="14.25" customHeight="1">
      <c r="A5" s="4"/>
      <c r="B5" s="28"/>
      <c r="C5" s="28"/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28"/>
    </row>
    <row r="6" spans="1:31" ht="22.5" customHeight="1">
      <c r="A6" s="3"/>
      <c r="B6" s="6" t="s">
        <v>7</v>
      </c>
      <c r="C6" s="7">
        <v>10</v>
      </c>
      <c r="D6" s="6">
        <v>1</v>
      </c>
      <c r="E6" s="6">
        <v>1</v>
      </c>
      <c r="F6" s="6">
        <v>1</v>
      </c>
      <c r="G6" s="6">
        <v>2</v>
      </c>
      <c r="H6" s="6">
        <v>2</v>
      </c>
      <c r="I6" s="6">
        <v>1</v>
      </c>
      <c r="J6" s="6">
        <v>1</v>
      </c>
      <c r="K6" s="6">
        <v>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8"/>
      <c r="X6" s="9">
        <f t="shared" ref="X6:X11" si="0">SUM(D6:W6)</f>
        <v>10</v>
      </c>
    </row>
    <row r="7" spans="1:31" ht="22.5" customHeight="1">
      <c r="A7" s="3"/>
      <c r="B7" s="6" t="s">
        <v>8</v>
      </c>
      <c r="C7" s="7">
        <v>5</v>
      </c>
      <c r="D7" s="6">
        <v>1</v>
      </c>
      <c r="E7" s="6">
        <v>2</v>
      </c>
      <c r="F7" s="6">
        <v>1</v>
      </c>
      <c r="G7" s="6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8"/>
      <c r="X7" s="10">
        <f t="shared" si="0"/>
        <v>5</v>
      </c>
    </row>
    <row r="8" spans="1:31" ht="22.5" customHeight="1">
      <c r="A8" s="3"/>
      <c r="B8" s="6" t="s">
        <v>9</v>
      </c>
      <c r="C8" s="7">
        <v>10</v>
      </c>
      <c r="D8" s="6"/>
      <c r="E8" s="6"/>
      <c r="F8" s="6"/>
      <c r="G8" s="6">
        <v>1</v>
      </c>
      <c r="H8" s="6">
        <v>1</v>
      </c>
      <c r="I8" s="6">
        <v>2</v>
      </c>
      <c r="J8" s="6">
        <v>1</v>
      </c>
      <c r="K8" s="6">
        <v>1</v>
      </c>
      <c r="L8" s="6">
        <v>1</v>
      </c>
      <c r="M8" s="6">
        <v>2</v>
      </c>
      <c r="N8" s="6">
        <v>1</v>
      </c>
      <c r="O8" s="6"/>
      <c r="P8" s="6"/>
      <c r="Q8" s="6"/>
      <c r="R8" s="6"/>
      <c r="S8" s="6"/>
      <c r="T8" s="6"/>
      <c r="U8" s="6"/>
      <c r="V8" s="6"/>
      <c r="W8" s="8"/>
      <c r="X8" s="10">
        <f t="shared" si="0"/>
        <v>10</v>
      </c>
    </row>
    <row r="9" spans="1:31" ht="22.5" customHeight="1">
      <c r="A9" s="3"/>
      <c r="B9" s="6" t="s">
        <v>10</v>
      </c>
      <c r="C9" s="7">
        <v>5</v>
      </c>
      <c r="D9" s="6"/>
      <c r="E9" s="6"/>
      <c r="F9" s="6"/>
      <c r="G9" s="6"/>
      <c r="H9" s="6"/>
      <c r="I9" s="6"/>
      <c r="J9" s="6"/>
      <c r="K9" s="6">
        <v>1</v>
      </c>
      <c r="L9" s="6">
        <v>1</v>
      </c>
      <c r="M9" s="6">
        <v>1</v>
      </c>
      <c r="N9" s="6">
        <v>2</v>
      </c>
      <c r="O9" s="6"/>
      <c r="P9" s="6"/>
      <c r="Q9" s="6"/>
      <c r="R9" s="6"/>
      <c r="S9" s="6"/>
      <c r="T9" s="6"/>
      <c r="U9" s="6"/>
      <c r="V9" s="6"/>
      <c r="W9" s="8"/>
      <c r="X9" s="10">
        <f t="shared" si="0"/>
        <v>5</v>
      </c>
    </row>
    <row r="10" spans="1:31" ht="22.5" customHeight="1">
      <c r="A10" s="3"/>
      <c r="B10" s="6" t="s">
        <v>11</v>
      </c>
      <c r="C10" s="7">
        <v>10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</v>
      </c>
      <c r="O10" s="6">
        <v>1</v>
      </c>
      <c r="P10" s="6">
        <v>1</v>
      </c>
      <c r="Q10" s="6">
        <v>2</v>
      </c>
      <c r="R10" s="6">
        <v>2</v>
      </c>
      <c r="S10" s="6">
        <v>1</v>
      </c>
      <c r="T10" s="6">
        <v>1</v>
      </c>
      <c r="U10" s="6">
        <v>1</v>
      </c>
      <c r="V10" s="6"/>
      <c r="W10" s="8"/>
      <c r="X10" s="10">
        <f t="shared" si="0"/>
        <v>10</v>
      </c>
    </row>
    <row r="11" spans="1:31" ht="22.5" customHeight="1">
      <c r="A11" s="3"/>
      <c r="B11" s="6" t="s">
        <v>12</v>
      </c>
      <c r="C11" s="7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3</v>
      </c>
      <c r="U11" s="6">
        <v>2</v>
      </c>
      <c r="V11" s="6">
        <v>3</v>
      </c>
      <c r="W11" s="6">
        <v>2</v>
      </c>
      <c r="X11" s="26">
        <f t="shared" si="0"/>
        <v>10</v>
      </c>
    </row>
    <row r="12" spans="1:31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1" ht="14.25" customHeight="1">
      <c r="A13" s="3"/>
      <c r="B13" s="3"/>
      <c r="C13" s="11">
        <f>SUM(C6:C12)</f>
        <v>50</v>
      </c>
      <c r="D13" s="11">
        <f>C13</f>
        <v>50</v>
      </c>
      <c r="E13" s="11">
        <f t="shared" ref="E13:X13" si="1">D13-SUM(D6:D11)</f>
        <v>48</v>
      </c>
      <c r="F13" s="11">
        <f t="shared" si="1"/>
        <v>45</v>
      </c>
      <c r="G13" s="11">
        <f t="shared" si="1"/>
        <v>43</v>
      </c>
      <c r="H13" s="11">
        <f t="shared" si="1"/>
        <v>39</v>
      </c>
      <c r="I13" s="11">
        <f t="shared" si="1"/>
        <v>36</v>
      </c>
      <c r="J13" s="11">
        <f t="shared" si="1"/>
        <v>33</v>
      </c>
      <c r="K13" s="11">
        <f t="shared" si="1"/>
        <v>31</v>
      </c>
      <c r="L13" s="11">
        <f t="shared" si="1"/>
        <v>28</v>
      </c>
      <c r="M13" s="11">
        <f t="shared" si="1"/>
        <v>26</v>
      </c>
      <c r="N13" s="11">
        <f t="shared" si="1"/>
        <v>23</v>
      </c>
      <c r="O13" s="11">
        <f t="shared" si="1"/>
        <v>19</v>
      </c>
      <c r="P13" s="11">
        <f t="shared" si="1"/>
        <v>18</v>
      </c>
      <c r="Q13" s="11">
        <f t="shared" si="1"/>
        <v>17</v>
      </c>
      <c r="R13" s="11">
        <f t="shared" si="1"/>
        <v>15</v>
      </c>
      <c r="S13" s="11">
        <f t="shared" si="1"/>
        <v>13</v>
      </c>
      <c r="T13" s="11">
        <f t="shared" si="1"/>
        <v>12</v>
      </c>
      <c r="U13" s="11">
        <f t="shared" si="1"/>
        <v>8</v>
      </c>
      <c r="V13" s="11">
        <f t="shared" si="1"/>
        <v>5</v>
      </c>
      <c r="W13" s="11">
        <f t="shared" si="1"/>
        <v>2</v>
      </c>
      <c r="X13" s="11">
        <f t="shared" si="1"/>
        <v>0</v>
      </c>
    </row>
    <row r="14" spans="1:31" ht="22.5" customHeight="1">
      <c r="A14" s="12"/>
      <c r="B14" s="13" t="s">
        <v>4</v>
      </c>
      <c r="C14" s="14">
        <f t="shared" ref="C14:W14" si="2">D13</f>
        <v>50</v>
      </c>
      <c r="D14" s="14">
        <f t="shared" si="2"/>
        <v>48</v>
      </c>
      <c r="E14" s="15">
        <f t="shared" si="2"/>
        <v>45</v>
      </c>
      <c r="F14" s="15">
        <f t="shared" si="2"/>
        <v>43</v>
      </c>
      <c r="G14" s="15">
        <f t="shared" si="2"/>
        <v>39</v>
      </c>
      <c r="H14" s="15">
        <f t="shared" si="2"/>
        <v>36</v>
      </c>
      <c r="I14" s="15">
        <f t="shared" si="2"/>
        <v>33</v>
      </c>
      <c r="J14" s="15">
        <f t="shared" si="2"/>
        <v>31</v>
      </c>
      <c r="K14" s="15">
        <f t="shared" si="2"/>
        <v>28</v>
      </c>
      <c r="L14" s="15">
        <f t="shared" si="2"/>
        <v>26</v>
      </c>
      <c r="M14" s="15">
        <f t="shared" si="2"/>
        <v>23</v>
      </c>
      <c r="N14" s="15">
        <f t="shared" si="2"/>
        <v>19</v>
      </c>
      <c r="O14" s="15">
        <f t="shared" si="2"/>
        <v>18</v>
      </c>
      <c r="P14" s="15">
        <f t="shared" si="2"/>
        <v>17</v>
      </c>
      <c r="Q14" s="15">
        <f t="shared" si="2"/>
        <v>15</v>
      </c>
      <c r="R14" s="15">
        <f t="shared" si="2"/>
        <v>13</v>
      </c>
      <c r="S14" s="15">
        <f t="shared" si="2"/>
        <v>12</v>
      </c>
      <c r="T14" s="15">
        <f t="shared" si="2"/>
        <v>8</v>
      </c>
      <c r="U14" s="15">
        <f t="shared" si="2"/>
        <v>5</v>
      </c>
      <c r="V14" s="15">
        <f t="shared" si="2"/>
        <v>2</v>
      </c>
      <c r="W14" s="16">
        <f t="shared" si="2"/>
        <v>0</v>
      </c>
      <c r="X14" s="17"/>
      <c r="Y14" s="18"/>
      <c r="Z14" s="18"/>
      <c r="AA14" s="18"/>
      <c r="AB14" s="18"/>
      <c r="AC14" s="18"/>
      <c r="AD14" s="18"/>
      <c r="AE14" s="18"/>
    </row>
    <row r="15" spans="1:31" ht="14.25" customHeight="1">
      <c r="A15" s="3"/>
      <c r="B15" s="3"/>
      <c r="C15" s="11">
        <f>SUM(C6:C11)</f>
        <v>50</v>
      </c>
      <c r="D15" s="11">
        <f>SUM(C6:C11)</f>
        <v>50</v>
      </c>
      <c r="E15" s="11">
        <f t="shared" ref="E15:X15" si="3">D15-(SUM($C$6:$C$11)/20)</f>
        <v>47.5</v>
      </c>
      <c r="F15" s="11">
        <f t="shared" si="3"/>
        <v>45</v>
      </c>
      <c r="G15" s="11">
        <f t="shared" si="3"/>
        <v>42.5</v>
      </c>
      <c r="H15" s="11">
        <f t="shared" si="3"/>
        <v>40</v>
      </c>
      <c r="I15" s="11">
        <f t="shared" si="3"/>
        <v>37.5</v>
      </c>
      <c r="J15" s="11">
        <f t="shared" si="3"/>
        <v>35</v>
      </c>
      <c r="K15" s="11">
        <f t="shared" si="3"/>
        <v>32.5</v>
      </c>
      <c r="L15" s="11">
        <f t="shared" si="3"/>
        <v>30</v>
      </c>
      <c r="M15" s="11">
        <f t="shared" si="3"/>
        <v>27.5</v>
      </c>
      <c r="N15" s="11">
        <f t="shared" si="3"/>
        <v>25</v>
      </c>
      <c r="O15" s="11">
        <f t="shared" si="3"/>
        <v>22.5</v>
      </c>
      <c r="P15" s="11">
        <f t="shared" si="3"/>
        <v>20</v>
      </c>
      <c r="Q15" s="11">
        <f t="shared" si="3"/>
        <v>17.5</v>
      </c>
      <c r="R15" s="11">
        <f t="shared" si="3"/>
        <v>15</v>
      </c>
      <c r="S15" s="11">
        <f t="shared" si="3"/>
        <v>12.5</v>
      </c>
      <c r="T15" s="11">
        <f t="shared" si="3"/>
        <v>10</v>
      </c>
      <c r="U15" s="11">
        <f t="shared" si="3"/>
        <v>7.5</v>
      </c>
      <c r="V15" s="11">
        <f t="shared" si="3"/>
        <v>5</v>
      </c>
      <c r="W15" s="11">
        <f t="shared" si="3"/>
        <v>2.5</v>
      </c>
      <c r="X15" s="11">
        <f t="shared" si="3"/>
        <v>0</v>
      </c>
    </row>
    <row r="16" spans="1:31" ht="22.5" customHeight="1">
      <c r="A16" s="12"/>
      <c r="B16" s="19" t="s">
        <v>5</v>
      </c>
      <c r="C16" s="20">
        <f>C15</f>
        <v>50</v>
      </c>
      <c r="D16" s="20">
        <f t="shared" ref="D16:W16" si="4">E15</f>
        <v>47.5</v>
      </c>
      <c r="E16" s="21">
        <f t="shared" si="4"/>
        <v>45</v>
      </c>
      <c r="F16" s="21">
        <f t="shared" si="4"/>
        <v>42.5</v>
      </c>
      <c r="G16" s="21">
        <f t="shared" si="4"/>
        <v>40</v>
      </c>
      <c r="H16" s="21">
        <f t="shared" si="4"/>
        <v>37.5</v>
      </c>
      <c r="I16" s="21">
        <f t="shared" si="4"/>
        <v>35</v>
      </c>
      <c r="J16" s="21">
        <f t="shared" si="4"/>
        <v>32.5</v>
      </c>
      <c r="K16" s="21">
        <f t="shared" si="4"/>
        <v>30</v>
      </c>
      <c r="L16" s="21">
        <f t="shared" si="4"/>
        <v>27.5</v>
      </c>
      <c r="M16" s="21">
        <f t="shared" si="4"/>
        <v>25</v>
      </c>
      <c r="N16" s="21">
        <f t="shared" si="4"/>
        <v>22.5</v>
      </c>
      <c r="O16" s="21">
        <f t="shared" si="4"/>
        <v>20</v>
      </c>
      <c r="P16" s="21">
        <f t="shared" si="4"/>
        <v>17.5</v>
      </c>
      <c r="Q16" s="21">
        <f t="shared" si="4"/>
        <v>15</v>
      </c>
      <c r="R16" s="21">
        <f t="shared" si="4"/>
        <v>12.5</v>
      </c>
      <c r="S16" s="21">
        <f t="shared" si="4"/>
        <v>10</v>
      </c>
      <c r="T16" s="21">
        <f t="shared" si="4"/>
        <v>7.5</v>
      </c>
      <c r="U16" s="21">
        <f t="shared" si="4"/>
        <v>5</v>
      </c>
      <c r="V16" s="21">
        <f t="shared" si="4"/>
        <v>2.5</v>
      </c>
      <c r="W16" s="22">
        <f t="shared" si="4"/>
        <v>0</v>
      </c>
      <c r="X16" s="17"/>
      <c r="Y16" s="18"/>
      <c r="Z16" s="18"/>
      <c r="AA16" s="18"/>
      <c r="AB16" s="18"/>
      <c r="AC16" s="18"/>
      <c r="AD16" s="18"/>
      <c r="AE16" s="18"/>
    </row>
    <row r="17" spans="1:24" ht="14.25" customHeight="1">
      <c r="A17" s="3"/>
      <c r="B17" s="3"/>
      <c r="C17" s="2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4.25" customHeight="1">
      <c r="A18" s="3"/>
      <c r="B18" s="3"/>
      <c r="C18" s="23"/>
      <c r="D18" s="3"/>
      <c r="E18" s="3"/>
      <c r="F18" s="3"/>
      <c r="G18" s="3"/>
      <c r="H18" s="2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4.25" customHeight="1">
      <c r="A19" s="3"/>
      <c r="B19" s="3"/>
      <c r="C19" s="23"/>
      <c r="D19" s="3"/>
      <c r="E19" s="3"/>
      <c r="F19" s="3"/>
      <c r="G19" s="3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4.25" customHeight="1">
      <c r="A20" s="3"/>
      <c r="B20" s="3"/>
      <c r="C20" s="23"/>
      <c r="D20" s="3"/>
      <c r="E20" s="3"/>
      <c r="F20" s="3"/>
      <c r="G20" s="3"/>
      <c r="H20" s="23"/>
      <c r="I20" s="3"/>
      <c r="J20" s="3"/>
    </row>
    <row r="21" spans="1:24" ht="14.25" customHeight="1">
      <c r="A21" s="3"/>
      <c r="B21" s="3"/>
      <c r="C21" s="23"/>
      <c r="D21" s="3"/>
      <c r="E21" s="3"/>
      <c r="F21" s="3"/>
      <c r="G21" s="3"/>
      <c r="H21" s="23"/>
      <c r="I21" s="3"/>
      <c r="J21" s="3"/>
    </row>
    <row r="22" spans="1:24" ht="14.25" customHeight="1">
      <c r="A22" s="3"/>
      <c r="B22" s="3"/>
      <c r="C22" s="23"/>
      <c r="D22" s="3"/>
      <c r="E22" s="3"/>
      <c r="F22" s="3"/>
      <c r="G22" s="3"/>
      <c r="H22" s="23"/>
      <c r="I22" s="3"/>
      <c r="J22" s="3"/>
    </row>
    <row r="23" spans="1:24" ht="14.25" customHeight="1">
      <c r="A23" s="3"/>
      <c r="B23" s="3"/>
      <c r="C23" s="23"/>
      <c r="D23" s="3"/>
      <c r="E23" s="3"/>
      <c r="F23" s="3"/>
      <c r="G23" s="3"/>
      <c r="H23" s="23"/>
      <c r="I23" s="3"/>
      <c r="J23" s="3"/>
    </row>
    <row r="24" spans="1:24" ht="14.25" customHeight="1">
      <c r="A24" s="3"/>
      <c r="B24" s="3"/>
      <c r="C24" s="23"/>
      <c r="D24" s="3"/>
      <c r="E24" s="3"/>
      <c r="F24" s="3"/>
      <c r="G24" s="3"/>
      <c r="H24" s="3"/>
      <c r="I24" s="3"/>
      <c r="J24" s="3"/>
    </row>
    <row r="25" spans="1:24" ht="14.25" customHeight="1">
      <c r="A25" s="3"/>
      <c r="B25" s="3"/>
      <c r="C25" s="23"/>
      <c r="D25" s="3"/>
      <c r="E25" s="3"/>
      <c r="F25" s="3"/>
      <c r="G25" s="3"/>
      <c r="H25" s="3"/>
      <c r="I25" s="3"/>
      <c r="J25" s="3"/>
    </row>
    <row r="26" spans="1:24" ht="14.25" customHeight="1">
      <c r="A26" s="3"/>
      <c r="B26" s="3"/>
      <c r="C26" s="23"/>
      <c r="D26" s="3"/>
      <c r="E26" s="3"/>
      <c r="F26" s="3"/>
      <c r="G26" s="3"/>
      <c r="H26" s="3"/>
      <c r="I26" s="3"/>
      <c r="J26" s="3"/>
    </row>
    <row r="27" spans="1:24" ht="14.25" customHeight="1"/>
    <row r="28" spans="1:24" ht="14.25" customHeight="1"/>
    <row r="29" spans="1:24" ht="14.25" customHeight="1"/>
    <row r="30" spans="1:24" ht="14.25" customHeight="1"/>
    <row r="31" spans="1:24" ht="14.25" customHeight="1"/>
    <row r="32" spans="1:24" ht="14.25" customHeight="1"/>
    <row r="33" spans="2:9" ht="14.25" customHeight="1"/>
    <row r="34" spans="2:9" ht="14.25" customHeight="1"/>
    <row r="35" spans="2:9" ht="14.25" customHeight="1"/>
    <row r="36" spans="2:9" ht="14.25" customHeight="1"/>
    <row r="37" spans="2:9" ht="14.25" customHeight="1"/>
    <row r="38" spans="2:9" ht="14.25" customHeight="1">
      <c r="B38" s="24"/>
      <c r="C38" s="24"/>
      <c r="D38" s="24"/>
      <c r="E38" s="24"/>
      <c r="F38" s="24"/>
      <c r="G38" s="24"/>
      <c r="H38" s="24"/>
      <c r="I38" s="24"/>
    </row>
    <row r="39" spans="2:9" ht="14.25" customHeight="1">
      <c r="B39" s="25"/>
      <c r="C39" s="25"/>
      <c r="D39" s="24"/>
      <c r="E39" s="24"/>
      <c r="F39" s="24"/>
      <c r="G39" s="24"/>
      <c r="H39" s="24"/>
      <c r="I39" s="24"/>
    </row>
    <row r="40" spans="2:9" ht="14.25" customHeight="1">
      <c r="B40" s="25"/>
      <c r="C40" s="25"/>
      <c r="D40" s="24"/>
      <c r="E40" s="24"/>
      <c r="F40" s="24"/>
      <c r="G40" s="24"/>
      <c r="H40" s="24"/>
      <c r="I40" s="24"/>
    </row>
    <row r="41" spans="2:9" ht="14.25" customHeight="1">
      <c r="B41" s="25"/>
      <c r="C41" s="25"/>
      <c r="D41" s="24"/>
      <c r="E41" s="24"/>
      <c r="F41" s="24"/>
      <c r="G41" s="24"/>
      <c r="H41" s="24"/>
      <c r="I41" s="24"/>
    </row>
    <row r="42" spans="2:9" ht="14.25" customHeight="1">
      <c r="B42" s="25"/>
      <c r="C42" s="25"/>
      <c r="D42" s="24"/>
      <c r="E42" s="24"/>
      <c r="F42" s="24"/>
      <c r="G42" s="24"/>
      <c r="H42" s="24"/>
      <c r="I42" s="24"/>
    </row>
    <row r="43" spans="2:9" ht="14.25" customHeight="1">
      <c r="B43" s="25"/>
      <c r="C43" s="25"/>
      <c r="D43" s="24"/>
      <c r="E43" s="24"/>
      <c r="F43" s="24"/>
      <c r="G43" s="24"/>
      <c r="H43" s="24"/>
      <c r="I43" s="24"/>
    </row>
    <row r="44" spans="2:9" ht="14.25" customHeight="1">
      <c r="B44" s="25"/>
      <c r="C44" s="25"/>
      <c r="D44" s="24"/>
      <c r="E44" s="24"/>
      <c r="F44" s="24"/>
      <c r="G44" s="24"/>
      <c r="H44" s="24"/>
      <c r="I44" s="24"/>
    </row>
    <row r="45" spans="2:9" ht="14.25" customHeight="1">
      <c r="B45" s="25"/>
      <c r="C45" s="25"/>
      <c r="D45" s="24"/>
      <c r="E45" s="24"/>
      <c r="F45" s="24"/>
      <c r="G45" s="24"/>
      <c r="H45" s="24"/>
      <c r="I45" s="24"/>
    </row>
    <row r="46" spans="2:9" ht="14.25" customHeight="1"/>
    <row r="47" spans="2:9" ht="14.25" customHeight="1"/>
    <row r="48" spans="2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5">
    <mergeCell ref="B4:B5"/>
    <mergeCell ref="C4:C5"/>
    <mergeCell ref="D4:W4"/>
    <mergeCell ref="X4:X5"/>
    <mergeCell ref="B2:X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FF CHART 20 DÍAS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Danny</cp:lastModifiedBy>
  <dcterms:created xsi:type="dcterms:W3CDTF">2018-02-12T12:05:26Z</dcterms:created>
  <dcterms:modified xsi:type="dcterms:W3CDTF">2026-10-01T15:29:03Z</dcterms:modified>
</cp:coreProperties>
</file>