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mdol\Documents\Estudios\Duoc UC\8. Capstone\Proyecto\Documentación\Burndown charts\"/>
    </mc:Choice>
  </mc:AlternateContent>
  <xr:revisionPtr revIDLastSave="0" documentId="13_ncr:1_{0DF0B158-8253-4A9E-81B4-BC1311461E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-S0 CHART 20 DÍ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6HLAwubIYf43/L3ZEye3oQCpakahMA1WvScUxZonK/U="/>
    </ext>
  </extLst>
</workbook>
</file>

<file path=xl/calcChain.xml><?xml version="1.0" encoding="utf-8"?>
<calcChain xmlns="http://schemas.openxmlformats.org/spreadsheetml/2006/main">
  <c r="D23" i="1" l="1"/>
  <c r="E23" i="1" s="1"/>
  <c r="X12" i="1"/>
  <c r="X13" i="1"/>
  <c r="X14" i="1"/>
  <c r="X15" i="1"/>
  <c r="X16" i="1"/>
  <c r="X17" i="1"/>
  <c r="X18" i="1"/>
  <c r="X11" i="1"/>
  <c r="C23" i="1"/>
  <c r="C24" i="1" s="1"/>
  <c r="C21" i="1"/>
  <c r="D21" i="1" s="1"/>
  <c r="X10" i="1"/>
  <c r="X9" i="1"/>
  <c r="X8" i="1"/>
  <c r="X7" i="1"/>
  <c r="X6" i="1"/>
  <c r="E21" i="1" l="1"/>
  <c r="C22" i="1"/>
  <c r="D24" i="1"/>
  <c r="F23" i="1"/>
  <c r="E24" i="1" l="1"/>
  <c r="G23" i="1"/>
  <c r="F21" i="1"/>
  <c r="D22" i="1"/>
  <c r="G21" i="1" l="1"/>
  <c r="E22" i="1"/>
  <c r="F24" i="1"/>
  <c r="H23" i="1"/>
  <c r="G24" i="1" l="1"/>
  <c r="I23" i="1"/>
  <c r="H21" i="1"/>
  <c r="F22" i="1"/>
  <c r="I21" i="1" l="1"/>
  <c r="G22" i="1"/>
  <c r="J23" i="1"/>
  <c r="H24" i="1"/>
  <c r="K23" i="1" l="1"/>
  <c r="I24" i="1"/>
  <c r="J21" i="1"/>
  <c r="H22" i="1"/>
  <c r="I22" i="1" l="1"/>
  <c r="K21" i="1"/>
  <c r="L23" i="1"/>
  <c r="J24" i="1"/>
  <c r="M23" i="1" l="1"/>
  <c r="K24" i="1"/>
  <c r="L21" i="1"/>
  <c r="J22" i="1"/>
  <c r="K22" i="1" l="1"/>
  <c r="M21" i="1"/>
  <c r="N23" i="1"/>
  <c r="L24" i="1"/>
  <c r="O23" i="1" l="1"/>
  <c r="M24" i="1"/>
  <c r="N21" i="1"/>
  <c r="L22" i="1"/>
  <c r="P23" i="1" l="1"/>
  <c r="N24" i="1"/>
  <c r="O21" i="1"/>
  <c r="M22" i="1"/>
  <c r="N22" i="1" l="1"/>
  <c r="P21" i="1"/>
  <c r="Q23" i="1"/>
  <c r="O24" i="1"/>
  <c r="P24" i="1" l="1"/>
  <c r="R23" i="1"/>
  <c r="O22" i="1"/>
  <c r="Q21" i="1"/>
  <c r="P22" i="1" l="1"/>
  <c r="R21" i="1"/>
  <c r="Q24" i="1"/>
  <c r="S23" i="1"/>
  <c r="R24" i="1" l="1"/>
  <c r="T23" i="1"/>
  <c r="Q22" i="1"/>
  <c r="S21" i="1"/>
  <c r="R22" i="1" l="1"/>
  <c r="T21" i="1"/>
  <c r="S24" i="1"/>
  <c r="U23" i="1"/>
  <c r="T24" i="1" l="1"/>
  <c r="V23" i="1"/>
  <c r="S22" i="1"/>
  <c r="U21" i="1"/>
  <c r="T22" i="1" l="1"/>
  <c r="V21" i="1"/>
  <c r="U24" i="1"/>
  <c r="W23" i="1"/>
  <c r="V24" i="1" l="1"/>
  <c r="X23" i="1"/>
  <c r="W24" i="1" s="1"/>
  <c r="W21" i="1"/>
  <c r="U22" i="1"/>
  <c r="X21" i="1" l="1"/>
  <c r="W22" i="1" s="1"/>
  <c r="V22" i="1"/>
</calcChain>
</file>

<file path=xl/sharedStrings.xml><?xml version="1.0" encoding="utf-8"?>
<sst xmlns="http://schemas.openxmlformats.org/spreadsheetml/2006/main" count="20" uniqueCount="20">
  <si>
    <t xml:space="preserve">Tareas </t>
  </si>
  <si>
    <t>Horas estimadas</t>
  </si>
  <si>
    <t>DIA</t>
  </si>
  <si>
    <t>Total</t>
  </si>
  <si>
    <t>FI-T1 (Constitución equipo y acta)</t>
  </si>
  <si>
    <t>FI-T2 (Levantamiento requerimientos)</t>
  </si>
  <si>
    <t>FI-T3 (Product vision)</t>
  </si>
  <si>
    <t>FI-T4 (Product backlog priorizado)</t>
  </si>
  <si>
    <t>FI-T5 (Requerimientos funcionales/no func.)</t>
  </si>
  <si>
    <t>FI-T6 (Análisis modelo de negocio)</t>
  </si>
  <si>
    <t>Horas reales de producto por realizar</t>
  </si>
  <si>
    <t>Horas estimadas de producto por realizar</t>
  </si>
  <si>
    <t>Control de FASE INICIAL + SPRINT 0 de 20 días</t>
  </si>
  <si>
    <t>S0-T1 (Definición de Done / DoD)</t>
  </si>
  <si>
    <t>S0-T2 (Sprint backlog 0)</t>
  </si>
  <si>
    <t>S0-T3 (Git local y GitHub)</t>
  </si>
  <si>
    <t>S0-T4 (Requisitos no funcionales)</t>
  </si>
  <si>
    <t>S0-T5 (Modelamiento Diagrama ER)</t>
  </si>
  <si>
    <t>S0-T6 (Diagramas UML)</t>
  </si>
  <si>
    <t>S0-T7 (Mockups 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</si>
</sst>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6"/>
      <color theme="1"/>
      <name val="Calibri"/>
    </font>
    <font>
      <b/>
      <sz val="16"/>
      <color rgb="FFA76B3D"/>
      <name val="Montserrat"/>
    </font>
    <font>
      <sz val="11"/>
      <color theme="1"/>
      <name val="Calibri"/>
    </font>
    <font>
      <b/>
      <sz val="11"/>
      <color rgb="FFFFFFFF"/>
      <name val="Calibri"/>
    </font>
    <font>
      <sz val="11"/>
      <name val="Calibri"/>
    </font>
    <font>
      <sz val="11"/>
      <color theme="0"/>
      <name val="Calibri"/>
    </font>
    <font>
      <sz val="11"/>
      <color rgb="FFFFFFFF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1F1F1F"/>
      <name val="&quot;Google Sans Text&quot;"/>
    </font>
    <font>
      <b/>
      <sz val="11"/>
      <color rgb="FF1F1F1F"/>
      <name val="&quot;Google Sans Text&quot;"/>
    </font>
  </fonts>
  <fills count="8">
    <fill>
      <patternFill patternType="none"/>
    </fill>
    <fill>
      <patternFill patternType="gray125"/>
    </fill>
    <fill>
      <patternFill patternType="solid">
        <fgColor rgb="FFA76B3D"/>
        <bgColor rgb="FFA76B3D"/>
      </patternFill>
    </fill>
    <fill>
      <patternFill patternType="solid">
        <fgColor rgb="FFC99369"/>
        <bgColor rgb="FFC99369"/>
      </patternFill>
    </fill>
    <fill>
      <patternFill patternType="solid">
        <fgColor rgb="FFFFE2CE"/>
        <bgColor rgb="FFFFE2CE"/>
      </patternFill>
    </fill>
    <fill>
      <patternFill patternType="solid">
        <fgColor rgb="FFDFB696"/>
        <bgColor rgb="FFDFB696"/>
      </patternFill>
    </fill>
    <fill>
      <patternFill patternType="solid">
        <fgColor rgb="FFED7D31"/>
        <bgColor rgb="FFED7D31"/>
      </patternFill>
    </fill>
    <fill>
      <patternFill patternType="solid">
        <fgColor rgb="FFF0C1AE"/>
        <bgColor rgb="FFF0C1AE"/>
      </patternFill>
    </fill>
  </fills>
  <borders count="15">
    <border>
      <left/>
      <right/>
      <top/>
      <bottom/>
      <diagonal/>
    </border>
    <border>
      <left style="thin">
        <color rgb="FF613615"/>
      </left>
      <right style="thin">
        <color rgb="FF613615"/>
      </right>
      <top style="thin">
        <color rgb="FF613615"/>
      </top>
      <bottom/>
      <diagonal/>
    </border>
    <border>
      <left style="thin">
        <color rgb="FF613615"/>
      </left>
      <right/>
      <top style="thin">
        <color rgb="FF613615"/>
      </top>
      <bottom style="thin">
        <color rgb="FF613615"/>
      </bottom>
      <diagonal/>
    </border>
    <border>
      <left/>
      <right/>
      <top style="thin">
        <color rgb="FF613615"/>
      </top>
      <bottom style="thin">
        <color rgb="FF613615"/>
      </bottom>
      <diagonal/>
    </border>
    <border>
      <left/>
      <right style="thin">
        <color rgb="FF613615"/>
      </right>
      <top style="thin">
        <color rgb="FF613615"/>
      </top>
      <bottom style="thin">
        <color rgb="FF613615"/>
      </bottom>
      <diagonal/>
    </border>
    <border>
      <left style="thin">
        <color rgb="FF613615"/>
      </left>
      <right style="thin">
        <color rgb="FF613615"/>
      </right>
      <top/>
      <bottom style="thin">
        <color rgb="FF613615"/>
      </bottom>
      <diagonal/>
    </border>
    <border>
      <left style="thin">
        <color rgb="FF613615"/>
      </left>
      <right style="thin">
        <color rgb="FF613615"/>
      </right>
      <top style="thin">
        <color rgb="FF613615"/>
      </top>
      <bottom style="thin">
        <color rgb="FF613615"/>
      </bottom>
      <diagonal/>
    </border>
    <border>
      <left style="thin">
        <color rgb="FF613615"/>
      </left>
      <right style="thin">
        <color rgb="FF613615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613615"/>
      </right>
      <top/>
      <bottom/>
      <diagonal/>
    </border>
    <border>
      <left style="thin">
        <color rgb="FF613615"/>
      </left>
      <right/>
      <top/>
      <bottom/>
      <diagonal/>
    </border>
    <border>
      <left style="thin">
        <color theme="5" tint="-0.499984740745262"/>
      </left>
      <right style="thin">
        <color theme="5" tint="-0.499984740745262"/>
      </right>
      <top/>
      <bottom/>
      <diagonal/>
    </border>
    <border>
      <left style="thin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10" fillId="0" borderId="0" xfId="0" applyFont="1"/>
    <xf numFmtId="0" fontId="11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5" xfId="0" applyFont="1" applyBorder="1"/>
    <xf numFmtId="0" fontId="4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613615"/>
                </a:solidFill>
                <a:latin typeface="Montserrat"/>
              </a:defRPr>
            </a:pPr>
            <a:r>
              <a:rPr lang="es-ES" sz="1600" b="1" i="0">
                <a:solidFill>
                  <a:srgbClr val="613615"/>
                </a:solidFill>
                <a:latin typeface="Montserrat"/>
              </a:rPr>
              <a:t>Burndown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6"/>
          <c:order val="6"/>
          <c:tx>
            <c:v>Horas estimadas de producto por realizar</c:v>
          </c:tx>
          <c:spPr>
            <a:ln w="38100" cmpd="sng">
              <a:solidFill>
                <a:srgbClr val="FFE2CE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numRef>
              <c:f>'FI-S0 CHART 20 DÍAS'!$D$5:$W$5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'FI-S0 CHART 20 DÍAS'!$C$22:$W$22</c:f>
              <c:numCache>
                <c:formatCode>General</c:formatCode>
                <c:ptCount val="21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89</c:v>
                </c:pt>
                <c:pt idx="4">
                  <c:v>85</c:v>
                </c:pt>
                <c:pt idx="5">
                  <c:v>84</c:v>
                </c:pt>
                <c:pt idx="6">
                  <c:v>82</c:v>
                </c:pt>
                <c:pt idx="7">
                  <c:v>79</c:v>
                </c:pt>
                <c:pt idx="8">
                  <c:v>76</c:v>
                </c:pt>
                <c:pt idx="9">
                  <c:v>72</c:v>
                </c:pt>
                <c:pt idx="10">
                  <c:v>67</c:v>
                </c:pt>
                <c:pt idx="11">
                  <c:v>63</c:v>
                </c:pt>
                <c:pt idx="12">
                  <c:v>57</c:v>
                </c:pt>
                <c:pt idx="13">
                  <c:v>49</c:v>
                </c:pt>
                <c:pt idx="14">
                  <c:v>41</c:v>
                </c:pt>
                <c:pt idx="15">
                  <c:v>33</c:v>
                </c:pt>
                <c:pt idx="16">
                  <c:v>26</c:v>
                </c:pt>
                <c:pt idx="17">
                  <c:v>19</c:v>
                </c:pt>
                <c:pt idx="18">
                  <c:v>13</c:v>
                </c:pt>
                <c:pt idx="19">
                  <c:v>7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BB2-4874-B62F-FC2333AF4FAD}"/>
            </c:ext>
          </c:extLst>
        </c:ser>
        <c:ser>
          <c:idx val="7"/>
          <c:order val="7"/>
          <c:tx>
            <c:v>Horas reales de producto por realizar</c:v>
          </c:tx>
          <c:spPr>
            <a:ln w="38100" cmpd="sng">
              <a:solidFill>
                <a:srgbClr val="F2A46F"/>
              </a:solidFill>
            </a:ln>
          </c:spPr>
          <c:marker>
            <c:symbol val="none"/>
          </c:marker>
          <c:cat>
            <c:numRef>
              <c:f>'FI-S0 CHART 20 DÍAS'!$D$5:$W$5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'FI-S0 CHART 20 DÍAS'!$C$24:$W$24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EBB2-4874-B62F-FC2333AF4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4763683"/>
        <c:axId val="35667883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38100" cmpd="sng">
                    <a:solidFill>
                      <a:srgbClr val="E06666">
                        <a:alpha val="100000"/>
                      </a:srgbClr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'FI-S0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'FI-S0 CHART 20 DÍAS'!$D$6:$W$6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</c:v>
                      </c:pt>
                      <c:pt idx="1">
                        <c:v>3</c:v>
                      </c:pt>
                      <c:pt idx="2">
                        <c:v>2</c:v>
                      </c:pt>
                      <c:pt idx="3">
                        <c:v>3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0-EBB2-4874-B62F-FC2333AF4FAD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38100" cmpd="sng">
                    <a:solidFill>
                      <a:srgbClr val="8E7CC3">
                        <a:alpha val="100000"/>
                      </a:srgbClr>
                    </a:solidFill>
                    <a:prstDash val="solid"/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'FI-S0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'FI-S0 CHART 20 DÍAS'!$D$7:$W$7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2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B2-4874-B62F-FC2333AF4FAD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cmpd="sng">
                    <a:solidFill>
                      <a:srgbClr val="A5A5A5">
                        <a:alpha val="100000"/>
                      </a:srgbClr>
                    </a:solidFill>
                    <a:prstDash val="solid"/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'FI-S0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'FI-S0 CHART 20 DÍAS'!$D$8:$W$8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5">
                        <c:v>1</c:v>
                      </c:pt>
                      <c:pt idx="6">
                        <c:v>2</c:v>
                      </c:pt>
                      <c:pt idx="7">
                        <c:v>1</c:v>
                      </c:pt>
                      <c:pt idx="8">
                        <c:v>1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B2-4874-B62F-FC2333AF4FAD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cmpd="sng">
                    <a:solidFill>
                      <a:srgbClr val="FFC000"/>
                    </a:solidFill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'FI-S0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'FI-S0 CHART 20 DÍAS'!$D$9:$W$9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9">
                        <c:v>1</c:v>
                      </c:pt>
                      <c:pt idx="10">
                        <c:v>1</c:v>
                      </c:pt>
                      <c:pt idx="11">
                        <c:v>2</c:v>
                      </c:pt>
                      <c:pt idx="12">
                        <c:v>1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B2-4874-B62F-FC2333AF4FAD}"/>
                  </c:ext>
                </c:extLst>
              </c15:ser>
            </c15:filteredLineSeries>
            <c15:filteredLineSeries>
              <c15:ser>
                <c:idx val="4"/>
                <c:order val="4"/>
                <c:spPr>
                  <a:ln cmpd="sng">
                    <a:solidFill>
                      <a:srgbClr val="4472C4"/>
                    </a:solidFill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'FI-S0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'FI-S0 CHART 20 DÍAS'!$D$10:$W$10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9">
                        <c:v>2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B2-4874-B62F-FC2333AF4FAD}"/>
                  </c:ext>
                </c:extLst>
              </c15:ser>
            </c15:filteredLineSeries>
            <c15:filteredLineSeries>
              <c15:ser>
                <c:idx val="5"/>
                <c:order val="5"/>
                <c:spPr>
                  <a:ln cmpd="sng">
                    <a:solidFill>
                      <a:srgbClr val="70AD47"/>
                    </a:solidFill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'FI-S0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'FI-S0 CHART 20 DÍAS'!$D$11:$W$11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12">
                        <c:v>1</c:v>
                      </c:pt>
                      <c:pt idx="13">
                        <c:v>1</c:v>
                      </c:pt>
                      <c:pt idx="14">
                        <c:v>2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2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B2-4874-B62F-FC2333AF4FAD}"/>
                  </c:ext>
                </c:extLst>
              </c15:ser>
            </c15:filteredLineSeries>
          </c:ext>
        </c:extLst>
      </c:lineChart>
      <c:catAx>
        <c:axId val="744763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613615"/>
                    </a:solidFill>
                    <a:latin typeface="Montserrat"/>
                  </a:defRPr>
                </a:pPr>
                <a:r>
                  <a:rPr lang="es-ES" sz="1000" b="1" i="0">
                    <a:solidFill>
                      <a:srgbClr val="613615"/>
                    </a:solidFill>
                    <a:latin typeface="Montserra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356678833"/>
        <c:crosses val="autoZero"/>
        <c:auto val="1"/>
        <c:lblAlgn val="ctr"/>
        <c:lblOffset val="100"/>
        <c:noMultiLvlLbl val="1"/>
      </c:catAx>
      <c:valAx>
        <c:axId val="356678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613615"/>
                    </a:solidFill>
                    <a:latin typeface="Montserrat"/>
                  </a:defRPr>
                </a:pPr>
                <a:r>
                  <a:rPr lang="es-ES" sz="1000" b="1" i="0">
                    <a:solidFill>
                      <a:srgbClr val="613615"/>
                    </a:solidFill>
                    <a:latin typeface="Montserra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74476368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219075</xdr:colOff>
      <xdr:row>2</xdr:row>
      <xdr:rowOff>171450</xdr:rowOff>
    </xdr:from>
    <xdr:ext cx="3562350" cy="5953125"/>
    <xdr:graphicFrame macro="">
      <xdr:nvGraphicFramePr>
        <xdr:cNvPr id="734700866" name="Chart 1" title="Gráfico">
          <a:extLst>
            <a:ext uri="{FF2B5EF4-FFF2-40B4-BE49-F238E27FC236}">
              <a16:creationId xmlns:a16="http://schemas.microsoft.com/office/drawing/2014/main" id="{00000000-0008-0000-0000-000042A5C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76B3D"/>
  </sheetPr>
  <dimension ref="A1:AE995"/>
  <sheetViews>
    <sheetView showGridLines="0" tabSelected="1" zoomScale="85" zoomScaleNormal="85" workbookViewId="0">
      <selection activeCell="T27" sqref="T27"/>
    </sheetView>
  </sheetViews>
  <sheetFormatPr baseColWidth="10" defaultColWidth="14.42578125" defaultRowHeight="15" customHeight="1"/>
  <cols>
    <col min="1" max="1" width="10.7109375" customWidth="1"/>
    <col min="2" max="2" width="45.7109375" customWidth="1"/>
    <col min="3" max="3" width="17" customWidth="1"/>
    <col min="4" max="23" width="5.140625" customWidth="1"/>
    <col min="24" max="31" width="10.7109375" customWidth="1"/>
  </cols>
  <sheetData>
    <row r="1" spans="1:24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>
      <c r="A2" s="1"/>
      <c r="B2" s="31" t="s">
        <v>12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24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4.25" customHeight="1">
      <c r="A4" s="4"/>
      <c r="B4" s="26" t="s">
        <v>0</v>
      </c>
      <c r="C4" s="26" t="s">
        <v>1</v>
      </c>
      <c r="D4" s="28" t="s">
        <v>2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30"/>
      <c r="X4" s="26" t="s">
        <v>3</v>
      </c>
    </row>
    <row r="5" spans="1:24" ht="14.25" customHeight="1">
      <c r="A5" s="4"/>
      <c r="B5" s="27"/>
      <c r="C5" s="27"/>
      <c r="D5" s="5">
        <v>1</v>
      </c>
      <c r="E5" s="5">
        <v>2</v>
      </c>
      <c r="F5" s="5">
        <v>3</v>
      </c>
      <c r="G5" s="5">
        <v>4</v>
      </c>
      <c r="H5" s="5">
        <v>5</v>
      </c>
      <c r="I5" s="5">
        <v>6</v>
      </c>
      <c r="J5" s="5">
        <v>7</v>
      </c>
      <c r="K5" s="5">
        <v>8</v>
      </c>
      <c r="L5" s="5">
        <v>9</v>
      </c>
      <c r="M5" s="5">
        <v>10</v>
      </c>
      <c r="N5" s="5">
        <v>11</v>
      </c>
      <c r="O5" s="5">
        <v>12</v>
      </c>
      <c r="P5" s="5">
        <v>13</v>
      </c>
      <c r="Q5" s="5">
        <v>14</v>
      </c>
      <c r="R5" s="5">
        <v>15</v>
      </c>
      <c r="S5" s="5">
        <v>16</v>
      </c>
      <c r="T5" s="5">
        <v>17</v>
      </c>
      <c r="U5" s="5">
        <v>18</v>
      </c>
      <c r="V5" s="5">
        <v>19</v>
      </c>
      <c r="W5" s="5">
        <v>20</v>
      </c>
      <c r="X5" s="27"/>
    </row>
    <row r="6" spans="1:24" ht="22.5" customHeight="1">
      <c r="A6" s="3"/>
      <c r="B6" s="6" t="s">
        <v>4</v>
      </c>
      <c r="C6" s="7">
        <v>10</v>
      </c>
      <c r="D6" s="6">
        <v>2</v>
      </c>
      <c r="E6" s="6">
        <v>3</v>
      </c>
      <c r="F6" s="6">
        <v>2</v>
      </c>
      <c r="G6" s="6">
        <v>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8"/>
      <c r="X6" s="9">
        <f t="shared" ref="X6:X10" si="0">SUM(D6:W6)</f>
        <v>10</v>
      </c>
    </row>
    <row r="7" spans="1:24" ht="22.5" customHeight="1">
      <c r="A7" s="3"/>
      <c r="B7" s="6" t="s">
        <v>5</v>
      </c>
      <c r="C7" s="7">
        <v>10</v>
      </c>
      <c r="D7" s="6">
        <v>2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8"/>
      <c r="X7" s="10">
        <f t="shared" si="0"/>
        <v>10</v>
      </c>
    </row>
    <row r="8" spans="1:24" ht="22.5" customHeight="1">
      <c r="A8" s="3"/>
      <c r="B8" s="6" t="s">
        <v>6</v>
      </c>
      <c r="C8" s="7">
        <v>5</v>
      </c>
      <c r="D8" s="6"/>
      <c r="E8" s="6"/>
      <c r="F8" s="6"/>
      <c r="G8" s="6"/>
      <c r="H8" s="6"/>
      <c r="I8" s="6">
        <v>1</v>
      </c>
      <c r="J8" s="6">
        <v>2</v>
      </c>
      <c r="K8" s="6">
        <v>1</v>
      </c>
      <c r="L8" s="6">
        <v>1</v>
      </c>
      <c r="M8" s="6"/>
      <c r="N8" s="6"/>
      <c r="O8" s="6"/>
      <c r="P8" s="6"/>
      <c r="Q8" s="6"/>
      <c r="R8" s="6"/>
      <c r="S8" s="6"/>
      <c r="T8" s="6"/>
      <c r="U8" s="6"/>
      <c r="V8" s="6"/>
      <c r="W8" s="8"/>
      <c r="X8" s="10">
        <f t="shared" si="0"/>
        <v>5</v>
      </c>
    </row>
    <row r="9" spans="1:24" ht="22.5" customHeight="1">
      <c r="A9" s="3"/>
      <c r="B9" s="6" t="s">
        <v>7</v>
      </c>
      <c r="C9" s="7">
        <v>5</v>
      </c>
      <c r="D9" s="6"/>
      <c r="E9" s="6"/>
      <c r="F9" s="6"/>
      <c r="G9" s="6"/>
      <c r="H9" s="6"/>
      <c r="I9" s="6"/>
      <c r="J9" s="6"/>
      <c r="K9" s="6"/>
      <c r="L9" s="6"/>
      <c r="M9" s="6">
        <v>1</v>
      </c>
      <c r="N9" s="6">
        <v>1</v>
      </c>
      <c r="O9" s="6">
        <v>2</v>
      </c>
      <c r="P9" s="6">
        <v>1</v>
      </c>
      <c r="Q9" s="6"/>
      <c r="R9" s="6"/>
      <c r="S9" s="6"/>
      <c r="T9" s="6"/>
      <c r="U9" s="6"/>
      <c r="V9" s="6"/>
      <c r="W9" s="8"/>
      <c r="X9" s="10">
        <f t="shared" si="0"/>
        <v>5</v>
      </c>
    </row>
    <row r="10" spans="1:24" ht="22.5" customHeight="1">
      <c r="A10" s="3"/>
      <c r="B10" s="6" t="s">
        <v>8</v>
      </c>
      <c r="C10" s="7">
        <v>10</v>
      </c>
      <c r="D10" s="6"/>
      <c r="E10" s="6"/>
      <c r="F10" s="6"/>
      <c r="G10" s="6"/>
      <c r="H10" s="6"/>
      <c r="I10" s="6"/>
      <c r="J10" s="6"/>
      <c r="K10" s="6"/>
      <c r="L10" s="6"/>
      <c r="M10" s="6">
        <v>2</v>
      </c>
      <c r="N10" s="6">
        <v>1</v>
      </c>
      <c r="O10" s="6">
        <v>1</v>
      </c>
      <c r="P10" s="6">
        <v>1</v>
      </c>
      <c r="Q10" s="6">
        <v>2</v>
      </c>
      <c r="R10" s="6">
        <v>1</v>
      </c>
      <c r="S10" s="6">
        <v>1</v>
      </c>
      <c r="T10" s="6">
        <v>1</v>
      </c>
      <c r="U10" s="6"/>
      <c r="V10" s="6"/>
      <c r="W10" s="8"/>
      <c r="X10" s="10">
        <f t="shared" si="0"/>
        <v>10</v>
      </c>
    </row>
    <row r="11" spans="1:24" ht="22.5" customHeight="1">
      <c r="A11" s="3"/>
      <c r="B11" s="6" t="s">
        <v>9</v>
      </c>
      <c r="C11" s="7">
        <v>10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>
        <v>1</v>
      </c>
      <c r="Q11" s="6">
        <v>1</v>
      </c>
      <c r="R11" s="6">
        <v>2</v>
      </c>
      <c r="S11" s="6">
        <v>1</v>
      </c>
      <c r="T11" s="6">
        <v>1</v>
      </c>
      <c r="U11" s="6">
        <v>1</v>
      </c>
      <c r="V11" s="6">
        <v>1</v>
      </c>
      <c r="W11" s="8">
        <v>2</v>
      </c>
      <c r="X11" s="33">
        <f>SUM(D11:W11)</f>
        <v>10</v>
      </c>
    </row>
    <row r="12" spans="1:24" ht="22.5" customHeight="1">
      <c r="A12" s="3"/>
      <c r="B12" s="6" t="s">
        <v>13</v>
      </c>
      <c r="C12" s="7">
        <v>5</v>
      </c>
      <c r="D12" s="6"/>
      <c r="E12" s="6"/>
      <c r="F12" s="6"/>
      <c r="G12" s="6"/>
      <c r="H12" s="6"/>
      <c r="I12" s="6"/>
      <c r="J12" s="6"/>
      <c r="K12" s="6"/>
      <c r="L12" s="6">
        <v>2</v>
      </c>
      <c r="M12" s="6">
        <v>1</v>
      </c>
      <c r="N12" s="6">
        <v>1</v>
      </c>
      <c r="O12" s="6">
        <v>1</v>
      </c>
      <c r="P12" s="6"/>
      <c r="Q12" s="6"/>
      <c r="R12" s="6"/>
      <c r="S12" s="6"/>
      <c r="T12" s="6"/>
      <c r="U12" s="6"/>
      <c r="V12" s="6"/>
      <c r="W12" s="8"/>
      <c r="X12" s="33">
        <f t="shared" ref="X12:X18" si="1">SUM(D12:W12)</f>
        <v>5</v>
      </c>
    </row>
    <row r="13" spans="1:24" ht="22.5" customHeight="1">
      <c r="A13" s="3"/>
      <c r="B13" s="6" t="s">
        <v>14</v>
      </c>
      <c r="C13" s="7">
        <v>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1</v>
      </c>
      <c r="Q13" s="6">
        <v>2</v>
      </c>
      <c r="R13" s="6">
        <v>1</v>
      </c>
      <c r="S13" s="6">
        <v>1</v>
      </c>
      <c r="T13" s="6"/>
      <c r="U13" s="6"/>
      <c r="V13" s="6"/>
      <c r="W13" s="8"/>
      <c r="X13" s="33">
        <f t="shared" si="1"/>
        <v>5</v>
      </c>
    </row>
    <row r="14" spans="1:24" ht="22.5" customHeight="1">
      <c r="A14" s="3"/>
      <c r="B14" s="6" t="s">
        <v>15</v>
      </c>
      <c r="C14" s="7">
        <v>10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v>1</v>
      </c>
      <c r="Q14" s="6">
        <v>1</v>
      </c>
      <c r="R14" s="6">
        <v>2</v>
      </c>
      <c r="S14" s="6">
        <v>1</v>
      </c>
      <c r="T14" s="6">
        <v>1</v>
      </c>
      <c r="U14" s="6">
        <v>1</v>
      </c>
      <c r="V14" s="6">
        <v>2</v>
      </c>
      <c r="W14" s="8">
        <v>1</v>
      </c>
      <c r="X14" s="33">
        <f t="shared" si="1"/>
        <v>10</v>
      </c>
    </row>
    <row r="15" spans="1:24" ht="22.5" customHeight="1">
      <c r="A15" s="3"/>
      <c r="B15" s="6" t="s">
        <v>16</v>
      </c>
      <c r="C15" s="7">
        <v>10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2</v>
      </c>
      <c r="U15" s="6">
        <v>3</v>
      </c>
      <c r="V15" s="6">
        <v>2</v>
      </c>
      <c r="W15" s="8">
        <v>3</v>
      </c>
      <c r="X15" s="33">
        <f t="shared" si="1"/>
        <v>10</v>
      </c>
    </row>
    <row r="16" spans="1:24" ht="22.5" customHeight="1">
      <c r="A16" s="3"/>
      <c r="B16" s="6" t="s">
        <v>17</v>
      </c>
      <c r="C16" s="7">
        <v>10</v>
      </c>
      <c r="D16" s="6"/>
      <c r="E16" s="6"/>
      <c r="F16" s="6"/>
      <c r="G16" s="6"/>
      <c r="H16" s="6"/>
      <c r="I16" s="6"/>
      <c r="J16" s="6"/>
      <c r="K16" s="6"/>
      <c r="L16" s="6">
        <v>1</v>
      </c>
      <c r="M16" s="6">
        <v>1</v>
      </c>
      <c r="N16" s="6">
        <v>1</v>
      </c>
      <c r="O16" s="6">
        <v>2</v>
      </c>
      <c r="P16" s="6">
        <v>1</v>
      </c>
      <c r="Q16" s="6">
        <v>1</v>
      </c>
      <c r="R16" s="6">
        <v>1</v>
      </c>
      <c r="S16" s="6">
        <v>2</v>
      </c>
      <c r="T16" s="6"/>
      <c r="U16" s="6"/>
      <c r="V16" s="6"/>
      <c r="W16" s="8"/>
      <c r="X16" s="33">
        <f t="shared" si="1"/>
        <v>10</v>
      </c>
    </row>
    <row r="17" spans="1:31" ht="22.5" customHeight="1">
      <c r="A17" s="3"/>
      <c r="B17" s="6" t="s">
        <v>18</v>
      </c>
      <c r="C17" s="7">
        <v>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v>2</v>
      </c>
      <c r="Q17" s="6">
        <v>1</v>
      </c>
      <c r="R17" s="6">
        <v>1</v>
      </c>
      <c r="S17" s="6">
        <v>1</v>
      </c>
      <c r="T17" s="6"/>
      <c r="U17" s="6"/>
      <c r="V17" s="6"/>
      <c r="W17" s="8"/>
      <c r="X17" s="33">
        <f t="shared" si="1"/>
        <v>5</v>
      </c>
    </row>
    <row r="18" spans="1:31" ht="22.5" customHeight="1">
      <c r="A18" s="3"/>
      <c r="B18" s="6" t="s">
        <v>19</v>
      </c>
      <c r="C18" s="7">
        <v>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2</v>
      </c>
      <c r="U18" s="6">
        <v>1</v>
      </c>
      <c r="V18" s="6">
        <v>1</v>
      </c>
      <c r="W18" s="8">
        <v>1</v>
      </c>
      <c r="X18" s="34">
        <f t="shared" si="1"/>
        <v>5</v>
      </c>
    </row>
    <row r="19" spans="1:31" ht="22.5" customHeight="1">
      <c r="A19" s="3"/>
    </row>
    <row r="20" spans="1:31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31" ht="14.25" customHeight="1">
      <c r="A21" s="3"/>
      <c r="B21" s="3"/>
      <c r="C21" s="11">
        <f>SUM(C6:C20)</f>
        <v>100</v>
      </c>
      <c r="D21" s="11">
        <f>C21</f>
        <v>100</v>
      </c>
      <c r="E21" s="11">
        <f>D21-SUM(D6:D18)</f>
        <v>96</v>
      </c>
      <c r="F21" s="11">
        <f>E21-SUM(E6:E18)</f>
        <v>92</v>
      </c>
      <c r="G21" s="11">
        <f>F21-SUM(F6:F18)</f>
        <v>89</v>
      </c>
      <c r="H21" s="11">
        <f>G21-SUM(G6:G18)</f>
        <v>85</v>
      </c>
      <c r="I21" s="11">
        <f>H21-SUM(H6:H18)</f>
        <v>84</v>
      </c>
      <c r="J21" s="11">
        <f>I21-SUM(I6:I18)</f>
        <v>82</v>
      </c>
      <c r="K21" s="11">
        <f>J21-SUM(J6:J18)</f>
        <v>79</v>
      </c>
      <c r="L21" s="11">
        <f>K21-SUM(K6:K18)</f>
        <v>76</v>
      </c>
      <c r="M21" s="11">
        <f>L21-SUM(L6:L18)</f>
        <v>72</v>
      </c>
      <c r="N21" s="11">
        <f>M21-SUM(M6:M18)</f>
        <v>67</v>
      </c>
      <c r="O21" s="11">
        <f>N21-SUM(N6:N18)</f>
        <v>63</v>
      </c>
      <c r="P21" s="11">
        <f>O21-SUM(O6:O18)</f>
        <v>57</v>
      </c>
      <c r="Q21" s="11">
        <f>P21-SUM(P6:P18)</f>
        <v>49</v>
      </c>
      <c r="R21" s="11">
        <f>Q21-SUM(Q6:Q18)</f>
        <v>41</v>
      </c>
      <c r="S21" s="11">
        <f>R21-SUM(R6:R18)</f>
        <v>33</v>
      </c>
      <c r="T21" s="11">
        <f>S21-SUM(S6:S18)</f>
        <v>26</v>
      </c>
      <c r="U21" s="11">
        <f>T21-SUM(T6:T18)</f>
        <v>19</v>
      </c>
      <c r="V21" s="11">
        <f>U21-SUM(U6:U18)</f>
        <v>13</v>
      </c>
      <c r="W21" s="11">
        <f>V21-SUM(V6:V18)</f>
        <v>7</v>
      </c>
      <c r="X21" s="11">
        <f>W21-SUM(W6:W18)</f>
        <v>0</v>
      </c>
    </row>
    <row r="22" spans="1:31" ht="22.5" customHeight="1">
      <c r="A22" s="12"/>
      <c r="B22" s="13" t="s">
        <v>10</v>
      </c>
      <c r="C22" s="14">
        <f t="shared" ref="C22:W22" si="2">D21</f>
        <v>100</v>
      </c>
      <c r="D22" s="14">
        <f t="shared" si="2"/>
        <v>96</v>
      </c>
      <c r="E22" s="15">
        <f t="shared" si="2"/>
        <v>92</v>
      </c>
      <c r="F22" s="15">
        <f t="shared" si="2"/>
        <v>89</v>
      </c>
      <c r="G22" s="15">
        <f t="shared" si="2"/>
        <v>85</v>
      </c>
      <c r="H22" s="15">
        <f t="shared" si="2"/>
        <v>84</v>
      </c>
      <c r="I22" s="15">
        <f t="shared" si="2"/>
        <v>82</v>
      </c>
      <c r="J22" s="15">
        <f t="shared" si="2"/>
        <v>79</v>
      </c>
      <c r="K22" s="15">
        <f t="shared" si="2"/>
        <v>76</v>
      </c>
      <c r="L22" s="15">
        <f t="shared" si="2"/>
        <v>72</v>
      </c>
      <c r="M22" s="15">
        <f t="shared" si="2"/>
        <v>67</v>
      </c>
      <c r="N22" s="15">
        <f t="shared" si="2"/>
        <v>63</v>
      </c>
      <c r="O22" s="15">
        <f t="shared" si="2"/>
        <v>57</v>
      </c>
      <c r="P22" s="15">
        <f t="shared" si="2"/>
        <v>49</v>
      </c>
      <c r="Q22" s="15">
        <f t="shared" si="2"/>
        <v>41</v>
      </c>
      <c r="R22" s="15">
        <f t="shared" si="2"/>
        <v>33</v>
      </c>
      <c r="S22" s="15">
        <f t="shared" si="2"/>
        <v>26</v>
      </c>
      <c r="T22" s="15">
        <f t="shared" si="2"/>
        <v>19</v>
      </c>
      <c r="U22" s="15">
        <f t="shared" si="2"/>
        <v>13</v>
      </c>
      <c r="V22" s="15">
        <f t="shared" si="2"/>
        <v>7</v>
      </c>
      <c r="W22" s="16">
        <f t="shared" si="2"/>
        <v>0</v>
      </c>
      <c r="X22" s="17"/>
      <c r="Y22" s="18"/>
      <c r="Z22" s="18"/>
      <c r="AA22" s="18"/>
      <c r="AB22" s="18"/>
      <c r="AC22" s="18"/>
      <c r="AD22" s="18"/>
      <c r="AE22" s="18"/>
    </row>
    <row r="23" spans="1:31" ht="14.25" customHeight="1">
      <c r="A23" s="3"/>
      <c r="B23" s="3"/>
      <c r="C23" s="11">
        <f>SUM(C6:C18)</f>
        <v>100</v>
      </c>
      <c r="D23" s="11">
        <f>SUM(C6:C18)</f>
        <v>100</v>
      </c>
      <c r="E23" s="11">
        <f>D23-(SUM($C$6:$C$18)/20)</f>
        <v>95</v>
      </c>
      <c r="F23" s="11">
        <f>E23-(SUM($C$6:$C$18)/20)</f>
        <v>90</v>
      </c>
      <c r="G23" s="11">
        <f>F23-(SUM($C$6:$C$18)/20)</f>
        <v>85</v>
      </c>
      <c r="H23" s="11">
        <f>G23-(SUM($C$6:$C$18)/20)</f>
        <v>80</v>
      </c>
      <c r="I23" s="11">
        <f>H23-(SUM($C$6:$C$18)/20)</f>
        <v>75</v>
      </c>
      <c r="J23" s="11">
        <f>I23-(SUM($C$6:$C$18)/20)</f>
        <v>70</v>
      </c>
      <c r="K23" s="11">
        <f>J23-(SUM($C$6:$C$18)/20)</f>
        <v>65</v>
      </c>
      <c r="L23" s="11">
        <f>K23-(SUM($C$6:$C$18)/20)</f>
        <v>60</v>
      </c>
      <c r="M23" s="11">
        <f>L23-(SUM($C$6:$C$18)/20)</f>
        <v>55</v>
      </c>
      <c r="N23" s="11">
        <f>M23-(SUM($C$6:$C$18)/20)</f>
        <v>50</v>
      </c>
      <c r="O23" s="11">
        <f>N23-(SUM($C$6:$C$18)/20)</f>
        <v>45</v>
      </c>
      <c r="P23" s="11">
        <f>O23-(SUM($C$6:$C$18)/20)</f>
        <v>40</v>
      </c>
      <c r="Q23" s="11">
        <f>P23-(SUM($C$6:$C$18)/20)</f>
        <v>35</v>
      </c>
      <c r="R23" s="11">
        <f>Q23-(SUM($C$6:$C$18)/20)</f>
        <v>30</v>
      </c>
      <c r="S23" s="11">
        <f>R23-(SUM($C$6:$C$18)/20)</f>
        <v>25</v>
      </c>
      <c r="T23" s="11">
        <f>S23-(SUM($C$6:$C$18)/20)</f>
        <v>20</v>
      </c>
      <c r="U23" s="11">
        <f>T23-(SUM($C$6:$C$18)/20)</f>
        <v>15</v>
      </c>
      <c r="V23" s="11">
        <f>U23-(SUM($C$6:$C$18)/20)</f>
        <v>10</v>
      </c>
      <c r="W23" s="11">
        <f>V23-(SUM($C$6:$C$18)/20)</f>
        <v>5</v>
      </c>
      <c r="X23" s="11">
        <f>W23-(SUM($C$6:$C$18)/20)</f>
        <v>0</v>
      </c>
    </row>
    <row r="24" spans="1:31" ht="22.5" customHeight="1">
      <c r="A24" s="12"/>
      <c r="B24" s="19" t="s">
        <v>11</v>
      </c>
      <c r="C24" s="20">
        <f>C23</f>
        <v>100</v>
      </c>
      <c r="D24" s="20">
        <f t="shared" ref="D24:W24" si="3">E23</f>
        <v>95</v>
      </c>
      <c r="E24" s="21">
        <f t="shared" si="3"/>
        <v>90</v>
      </c>
      <c r="F24" s="21">
        <f t="shared" si="3"/>
        <v>85</v>
      </c>
      <c r="G24" s="21">
        <f t="shared" si="3"/>
        <v>80</v>
      </c>
      <c r="H24" s="21">
        <f t="shared" si="3"/>
        <v>75</v>
      </c>
      <c r="I24" s="21">
        <f t="shared" si="3"/>
        <v>70</v>
      </c>
      <c r="J24" s="21">
        <f t="shared" si="3"/>
        <v>65</v>
      </c>
      <c r="K24" s="21">
        <f t="shared" si="3"/>
        <v>60</v>
      </c>
      <c r="L24" s="21">
        <f t="shared" si="3"/>
        <v>55</v>
      </c>
      <c r="M24" s="21">
        <f t="shared" si="3"/>
        <v>50</v>
      </c>
      <c r="N24" s="21">
        <f t="shared" si="3"/>
        <v>45</v>
      </c>
      <c r="O24" s="21">
        <f t="shared" si="3"/>
        <v>40</v>
      </c>
      <c r="P24" s="21">
        <f t="shared" si="3"/>
        <v>35</v>
      </c>
      <c r="Q24" s="21">
        <f t="shared" si="3"/>
        <v>30</v>
      </c>
      <c r="R24" s="21">
        <f t="shared" si="3"/>
        <v>25</v>
      </c>
      <c r="S24" s="21">
        <f t="shared" si="3"/>
        <v>20</v>
      </c>
      <c r="T24" s="21">
        <f t="shared" si="3"/>
        <v>15</v>
      </c>
      <c r="U24" s="21">
        <f t="shared" si="3"/>
        <v>10</v>
      </c>
      <c r="V24" s="21">
        <f t="shared" si="3"/>
        <v>5</v>
      </c>
      <c r="W24" s="22">
        <f t="shared" si="3"/>
        <v>0</v>
      </c>
      <c r="X24" s="17"/>
      <c r="Y24" s="18"/>
      <c r="Z24" s="18"/>
      <c r="AA24" s="18"/>
      <c r="AB24" s="18"/>
      <c r="AC24" s="18"/>
      <c r="AD24" s="18"/>
      <c r="AE24" s="18"/>
    </row>
    <row r="25" spans="1:31" ht="14.25" customHeight="1">
      <c r="A25" s="3"/>
      <c r="B25" s="3"/>
      <c r="C25" s="2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31" ht="14.25" customHeight="1">
      <c r="A26" s="3"/>
      <c r="B26" s="3"/>
      <c r="C26" s="23"/>
      <c r="D26" s="3"/>
      <c r="E26" s="3"/>
      <c r="F26" s="3"/>
      <c r="G26" s="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31" ht="14.25" customHeight="1">
      <c r="A27" s="3"/>
      <c r="B27" s="3"/>
      <c r="C27" s="23"/>
      <c r="D27" s="3"/>
      <c r="E27" s="3"/>
      <c r="F27" s="3"/>
      <c r="G27" s="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31" ht="14.25" customHeight="1">
      <c r="A28" s="3"/>
      <c r="B28" s="3"/>
      <c r="C28" s="23"/>
      <c r="D28" s="3"/>
      <c r="E28" s="3"/>
      <c r="F28" s="3"/>
      <c r="G28" s="3"/>
      <c r="H28" s="23"/>
      <c r="I28" s="3"/>
      <c r="J28" s="3"/>
    </row>
    <row r="29" spans="1:31" ht="14.25" customHeight="1">
      <c r="A29" s="3"/>
      <c r="B29" s="3"/>
      <c r="C29" s="23"/>
      <c r="D29" s="3"/>
      <c r="E29" s="3"/>
      <c r="F29" s="3"/>
      <c r="G29" s="3"/>
      <c r="H29" s="23"/>
      <c r="I29" s="3"/>
      <c r="J29" s="3"/>
    </row>
    <row r="30" spans="1:31" ht="14.25" customHeight="1">
      <c r="A30" s="3"/>
      <c r="B30" s="3"/>
      <c r="C30" s="23"/>
      <c r="D30" s="3"/>
      <c r="E30" s="3"/>
      <c r="F30" s="3"/>
      <c r="G30" s="3"/>
      <c r="H30" s="23"/>
      <c r="I30" s="3"/>
      <c r="J30" s="3"/>
    </row>
    <row r="31" spans="1:31" ht="14.25" customHeight="1">
      <c r="A31" s="3"/>
      <c r="B31" s="3"/>
      <c r="C31" s="23"/>
      <c r="D31" s="3"/>
      <c r="E31" s="3"/>
      <c r="F31" s="3"/>
      <c r="G31" s="3"/>
      <c r="H31" s="23"/>
      <c r="I31" s="3"/>
      <c r="J31" s="3"/>
    </row>
    <row r="32" spans="1:31" ht="14.25" customHeight="1">
      <c r="A32" s="3"/>
      <c r="B32" s="3"/>
      <c r="C32" s="23"/>
      <c r="D32" s="3"/>
      <c r="E32" s="3"/>
      <c r="F32" s="3"/>
      <c r="G32" s="3"/>
      <c r="H32" s="3"/>
      <c r="I32" s="3"/>
      <c r="J32" s="3"/>
    </row>
    <row r="33" spans="1:10" ht="14.25" customHeight="1">
      <c r="A33" s="3"/>
      <c r="B33" s="3"/>
      <c r="C33" s="23"/>
      <c r="D33" s="3"/>
      <c r="E33" s="3"/>
      <c r="F33" s="3"/>
      <c r="G33" s="3"/>
      <c r="H33" s="3"/>
      <c r="I33" s="3"/>
      <c r="J33" s="3"/>
    </row>
    <row r="34" spans="1:10" ht="14.25" customHeight="1">
      <c r="A34" s="3"/>
      <c r="B34" s="3"/>
      <c r="C34" s="23"/>
      <c r="D34" s="3"/>
      <c r="E34" s="3"/>
      <c r="F34" s="3"/>
      <c r="G34" s="3"/>
      <c r="H34" s="3"/>
      <c r="I34" s="3"/>
      <c r="J34" s="3"/>
    </row>
    <row r="35" spans="1:10" ht="14.25" customHeight="1"/>
    <row r="36" spans="1:10" ht="14.25" customHeight="1"/>
    <row r="37" spans="1:10" ht="14.25" customHeight="1"/>
    <row r="38" spans="1:10" ht="14.25" customHeight="1"/>
    <row r="39" spans="1:10" ht="14.25" customHeight="1"/>
    <row r="40" spans="1:10" ht="14.25" customHeight="1"/>
    <row r="41" spans="1:10" ht="14.25" customHeight="1"/>
    <row r="42" spans="1:10" ht="14.25" customHeight="1"/>
    <row r="43" spans="1:10" ht="14.25" customHeight="1"/>
    <row r="44" spans="1:10" ht="14.25" customHeight="1"/>
    <row r="45" spans="1:10" ht="14.25" customHeight="1"/>
    <row r="46" spans="1:10" ht="14.25" customHeight="1">
      <c r="B46" s="24"/>
      <c r="C46" s="24"/>
      <c r="D46" s="24"/>
      <c r="E46" s="24"/>
      <c r="F46" s="24"/>
      <c r="G46" s="24"/>
      <c r="H46" s="24"/>
      <c r="I46" s="24"/>
    </row>
    <row r="47" spans="1:10" ht="14.25" customHeight="1">
      <c r="B47" s="25"/>
      <c r="C47" s="25"/>
      <c r="D47" s="24"/>
      <c r="E47" s="24"/>
      <c r="F47" s="24"/>
      <c r="G47" s="24"/>
      <c r="H47" s="24"/>
      <c r="I47" s="24"/>
    </row>
    <row r="48" spans="1:10" ht="14.25" customHeight="1">
      <c r="B48" s="25"/>
      <c r="C48" s="25"/>
      <c r="D48" s="24"/>
      <c r="E48" s="24"/>
      <c r="F48" s="24"/>
      <c r="G48" s="24"/>
      <c r="H48" s="24"/>
      <c r="I48" s="24"/>
    </row>
    <row r="49" spans="2:9" ht="14.25" customHeight="1">
      <c r="B49" s="25"/>
      <c r="C49" s="25"/>
      <c r="D49" s="24"/>
      <c r="E49" s="24"/>
      <c r="F49" s="24"/>
      <c r="G49" s="24"/>
      <c r="H49" s="24"/>
      <c r="I49" s="24"/>
    </row>
    <row r="50" spans="2:9" ht="14.25" customHeight="1">
      <c r="B50" s="25"/>
      <c r="C50" s="25"/>
      <c r="D50" s="24"/>
      <c r="E50" s="24"/>
      <c r="F50" s="24"/>
      <c r="G50" s="24"/>
      <c r="H50" s="24"/>
      <c r="I50" s="24"/>
    </row>
    <row r="51" spans="2:9" ht="14.25" customHeight="1">
      <c r="B51" s="25"/>
      <c r="C51" s="25"/>
      <c r="D51" s="24"/>
      <c r="E51" s="24"/>
      <c r="F51" s="24"/>
      <c r="G51" s="24"/>
      <c r="H51" s="24"/>
      <c r="I51" s="24"/>
    </row>
    <row r="52" spans="2:9" ht="14.25" customHeight="1">
      <c r="B52" s="25"/>
      <c r="C52" s="25"/>
      <c r="D52" s="24"/>
      <c r="E52" s="24"/>
      <c r="F52" s="24"/>
      <c r="G52" s="24"/>
      <c r="H52" s="24"/>
      <c r="I52" s="24"/>
    </row>
    <row r="53" spans="2:9" ht="14.25" customHeight="1">
      <c r="B53" s="25"/>
      <c r="C53" s="25"/>
      <c r="D53" s="24"/>
      <c r="E53" s="24"/>
      <c r="F53" s="24"/>
      <c r="G53" s="24"/>
      <c r="H53" s="24"/>
      <c r="I53" s="24"/>
    </row>
    <row r="54" spans="2:9" ht="14.25" customHeight="1"/>
    <row r="55" spans="2:9" ht="14.25" customHeight="1"/>
    <row r="56" spans="2:9" ht="14.25" customHeight="1"/>
    <row r="57" spans="2:9" ht="14.25" customHeight="1"/>
    <row r="58" spans="2:9" ht="14.25" customHeight="1"/>
    <row r="59" spans="2:9" ht="14.25" customHeight="1"/>
    <row r="60" spans="2:9" ht="14.25" customHeight="1"/>
    <row r="61" spans="2:9" ht="14.25" customHeight="1"/>
    <row r="62" spans="2:9" ht="14.25" customHeight="1"/>
    <row r="63" spans="2:9" ht="14.25" customHeight="1"/>
    <row r="64" spans="2:9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5">
    <mergeCell ref="B4:B5"/>
    <mergeCell ref="C4:C5"/>
    <mergeCell ref="D4:W4"/>
    <mergeCell ref="X4:X5"/>
    <mergeCell ref="B2:X2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FI-S0 CHART 20 DÍAS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Danny</cp:lastModifiedBy>
  <dcterms:created xsi:type="dcterms:W3CDTF">2018-02-12T12:05:26Z</dcterms:created>
  <dcterms:modified xsi:type="dcterms:W3CDTF">2026-10-01T15:15:03Z</dcterms:modified>
</cp:coreProperties>
</file>