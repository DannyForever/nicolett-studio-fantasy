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mdol\Documents\Estudios\Duoc UC\8. Capstone\Proyecto\Documentación\Burndown charts\"/>
    </mc:Choice>
  </mc:AlternateContent>
  <xr:revisionPtr revIDLastSave="0" documentId="13_ncr:1_{2E5F182E-DEB1-467C-8DED-F8411B93CD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1-S2 CHART 20 DÍ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6HLAwubIYf43/L3ZEye3oQCpakahMA1WvScUxZonK/U="/>
    </ext>
  </extLst>
</workbook>
</file>

<file path=xl/calcChain.xml><?xml version="1.0" encoding="utf-8"?>
<calcChain xmlns="http://schemas.openxmlformats.org/spreadsheetml/2006/main">
  <c r="X12" i="1" l="1"/>
  <c r="X13" i="1"/>
  <c r="X14" i="1"/>
  <c r="X15" i="1"/>
  <c r="X16" i="1"/>
  <c r="X10" i="1"/>
  <c r="X9" i="1"/>
  <c r="X6" i="1"/>
  <c r="D20" i="1" l="1"/>
  <c r="E20" i="1" s="1"/>
  <c r="C20" i="1"/>
  <c r="C21" i="1" s="1"/>
  <c r="C18" i="1"/>
  <c r="D18" i="1" s="1"/>
  <c r="X11" i="1"/>
  <c r="X8" i="1"/>
  <c r="X7" i="1"/>
  <c r="C19" i="1" l="1"/>
  <c r="E18" i="1"/>
  <c r="D21" i="1"/>
  <c r="F20" i="1"/>
  <c r="E21" i="1" l="1"/>
  <c r="G20" i="1"/>
  <c r="F18" i="1"/>
  <c r="D19" i="1"/>
  <c r="G18" i="1" l="1"/>
  <c r="E19" i="1"/>
  <c r="F21" i="1"/>
  <c r="H20" i="1"/>
  <c r="G21" i="1" l="1"/>
  <c r="I20" i="1"/>
  <c r="F19" i="1"/>
  <c r="H18" i="1"/>
  <c r="G19" i="1" l="1"/>
  <c r="I18" i="1"/>
  <c r="H21" i="1"/>
  <c r="J20" i="1"/>
  <c r="K20" i="1" l="1"/>
  <c r="I21" i="1"/>
  <c r="H19" i="1"/>
  <c r="J18" i="1"/>
  <c r="I19" i="1" l="1"/>
  <c r="K18" i="1"/>
  <c r="L20" i="1"/>
  <c r="J21" i="1"/>
  <c r="K21" i="1" l="1"/>
  <c r="M20" i="1"/>
  <c r="L18" i="1"/>
  <c r="J19" i="1"/>
  <c r="M18" i="1" l="1"/>
  <c r="K19" i="1"/>
  <c r="N20" i="1"/>
  <c r="L21" i="1"/>
  <c r="O20" i="1" l="1"/>
  <c r="M21" i="1"/>
  <c r="N18" i="1"/>
  <c r="L19" i="1"/>
  <c r="P20" i="1" l="1"/>
  <c r="N21" i="1"/>
  <c r="O18" i="1"/>
  <c r="M19" i="1"/>
  <c r="N19" i="1" l="1"/>
  <c r="P18" i="1"/>
  <c r="Q20" i="1"/>
  <c r="O21" i="1"/>
  <c r="R20" i="1" l="1"/>
  <c r="P21" i="1"/>
  <c r="O19" i="1"/>
  <c r="Q18" i="1"/>
  <c r="P19" i="1" l="1"/>
  <c r="R18" i="1"/>
  <c r="Q21" i="1"/>
  <c r="S20" i="1"/>
  <c r="R21" i="1" l="1"/>
  <c r="T20" i="1"/>
  <c r="Q19" i="1"/>
  <c r="S18" i="1"/>
  <c r="R19" i="1" l="1"/>
  <c r="T18" i="1"/>
  <c r="S21" i="1"/>
  <c r="U20" i="1"/>
  <c r="T21" i="1" l="1"/>
  <c r="V20" i="1"/>
  <c r="S19" i="1"/>
  <c r="U18" i="1"/>
  <c r="V18" i="1" l="1"/>
  <c r="T19" i="1"/>
  <c r="U21" i="1"/>
  <c r="W20" i="1"/>
  <c r="W18" i="1" l="1"/>
  <c r="U19" i="1"/>
  <c r="V21" i="1"/>
  <c r="X20" i="1"/>
  <c r="W21" i="1" s="1"/>
  <c r="V19" i="1" l="1"/>
  <c r="X18" i="1"/>
  <c r="W19" i="1" s="1"/>
</calcChain>
</file>

<file path=xl/sharedStrings.xml><?xml version="1.0" encoding="utf-8"?>
<sst xmlns="http://schemas.openxmlformats.org/spreadsheetml/2006/main" count="18" uniqueCount="18">
  <si>
    <t xml:space="preserve">Tareas </t>
  </si>
  <si>
    <t>Horas estimadas</t>
  </si>
  <si>
    <t>DIA</t>
  </si>
  <si>
    <t>Total</t>
  </si>
  <si>
    <t>Horas reales de producto por realizar</t>
  </si>
  <si>
    <t>Horas estimadas de producto por realizar</t>
  </si>
  <si>
    <t>Control de SPRINT 1 + SPRINT 2 de 20 días</t>
  </si>
  <si>
    <t>S1-T1 (Sprint backlog 1)</t>
  </si>
  <si>
    <t>S1-T2 (Base de datos y migraciones)</t>
  </si>
  <si>
    <t>S1-T3 (Autenticación y RBAC)</t>
  </si>
  <si>
    <t>S1-T4 (Módulo agendamiento online)</t>
  </si>
  <si>
    <t>S1-T5 (Pruebas unitarias)</t>
  </si>
  <si>
    <t>S1-T6 (Evidencia retrospectiva 1)</t>
  </si>
  <si>
    <t>S2-T1 (Sprint backlog 2)</t>
  </si>
  <si>
    <t>S2-T2 (Fichas de seguimiento / historial)</t>
  </si>
  <si>
    <t>S2-T3 (Motor de alertas automáticas)</t>
  </si>
  <si>
    <t>S2-T4 (Beneficios y códigos promocionales)</t>
  </si>
  <si>
    <t>S2-T5 (Evidencia retrospectiva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</si>
</sst>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6"/>
      <color theme="1"/>
      <name val="Calibri"/>
    </font>
    <font>
      <b/>
      <sz val="16"/>
      <color rgb="FFA76B3D"/>
      <name val="Montserrat"/>
    </font>
    <font>
      <sz val="11"/>
      <color theme="1"/>
      <name val="Calibri"/>
    </font>
    <font>
      <b/>
      <sz val="11"/>
      <color rgb="FFFFFFFF"/>
      <name val="Calibri"/>
    </font>
    <font>
      <sz val="11"/>
      <name val="Calibri"/>
    </font>
    <font>
      <sz val="11"/>
      <color theme="0"/>
      <name val="Calibri"/>
    </font>
    <font>
      <sz val="11"/>
      <color rgb="FFFFFFFF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1F1F1F"/>
      <name val="&quot;Google Sans Text&quot;"/>
    </font>
    <font>
      <b/>
      <sz val="11"/>
      <color rgb="FF1F1F1F"/>
      <name val="&quot;Google Sans Text&quot;"/>
    </font>
  </fonts>
  <fills count="8">
    <fill>
      <patternFill patternType="none"/>
    </fill>
    <fill>
      <patternFill patternType="gray125"/>
    </fill>
    <fill>
      <patternFill patternType="solid">
        <fgColor rgb="FFA76B3D"/>
        <bgColor rgb="FFA76B3D"/>
      </patternFill>
    </fill>
    <fill>
      <patternFill patternType="solid">
        <fgColor rgb="FFC99369"/>
        <bgColor rgb="FFC99369"/>
      </patternFill>
    </fill>
    <fill>
      <patternFill patternType="solid">
        <fgColor rgb="FFFFE2CE"/>
        <bgColor rgb="FFFFE2CE"/>
      </patternFill>
    </fill>
    <fill>
      <patternFill patternType="solid">
        <fgColor rgb="FFDFB696"/>
        <bgColor rgb="FFDFB696"/>
      </patternFill>
    </fill>
    <fill>
      <patternFill patternType="solid">
        <fgColor rgb="FFED7D31"/>
        <bgColor rgb="FFED7D31"/>
      </patternFill>
    </fill>
    <fill>
      <patternFill patternType="solid">
        <fgColor rgb="FFF0C1AE"/>
        <bgColor rgb="FFF0C1AE"/>
      </patternFill>
    </fill>
  </fills>
  <borders count="14">
    <border>
      <left/>
      <right/>
      <top/>
      <bottom/>
      <diagonal/>
    </border>
    <border>
      <left style="thin">
        <color rgb="FF613615"/>
      </left>
      <right style="thin">
        <color rgb="FF613615"/>
      </right>
      <top style="thin">
        <color rgb="FF613615"/>
      </top>
      <bottom/>
      <diagonal/>
    </border>
    <border>
      <left style="thin">
        <color rgb="FF613615"/>
      </left>
      <right/>
      <top style="thin">
        <color rgb="FF613615"/>
      </top>
      <bottom style="thin">
        <color rgb="FF613615"/>
      </bottom>
      <diagonal/>
    </border>
    <border>
      <left/>
      <right/>
      <top style="thin">
        <color rgb="FF613615"/>
      </top>
      <bottom style="thin">
        <color rgb="FF613615"/>
      </bottom>
      <diagonal/>
    </border>
    <border>
      <left/>
      <right style="thin">
        <color rgb="FF613615"/>
      </right>
      <top style="thin">
        <color rgb="FF613615"/>
      </top>
      <bottom style="thin">
        <color rgb="FF613615"/>
      </bottom>
      <diagonal/>
    </border>
    <border>
      <left style="thin">
        <color rgb="FF613615"/>
      </left>
      <right style="thin">
        <color rgb="FF613615"/>
      </right>
      <top/>
      <bottom style="thin">
        <color rgb="FF613615"/>
      </bottom>
      <diagonal/>
    </border>
    <border>
      <left style="thin">
        <color rgb="FF613615"/>
      </left>
      <right style="thin">
        <color rgb="FF613615"/>
      </right>
      <top style="thin">
        <color rgb="FF613615"/>
      </top>
      <bottom style="thin">
        <color rgb="FF613615"/>
      </bottom>
      <diagonal/>
    </border>
    <border>
      <left style="thin">
        <color rgb="FF613615"/>
      </left>
      <right style="thin">
        <color rgb="FF613615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613615"/>
      </right>
      <top/>
      <bottom/>
      <diagonal/>
    </border>
    <border>
      <left style="thin">
        <color rgb="FF613615"/>
      </left>
      <right/>
      <top/>
      <bottom/>
      <diagonal/>
    </border>
    <border>
      <left style="thin">
        <color rgb="FF613615"/>
      </left>
      <right style="thin">
        <color rgb="FF613615"/>
      </right>
      <top/>
      <bottom style="thin">
        <color theme="5" tint="-0.49998474074526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10" fillId="0" borderId="0" xfId="0" applyFont="1"/>
    <xf numFmtId="0" fontId="11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5" xfId="0" applyFont="1" applyBorder="1"/>
    <xf numFmtId="0" fontId="4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613615"/>
                </a:solidFill>
                <a:latin typeface="Montserrat"/>
              </a:defRPr>
            </a:pPr>
            <a:r>
              <a:rPr lang="es-ES" sz="1600" b="1" i="0">
                <a:solidFill>
                  <a:srgbClr val="613615"/>
                </a:solidFill>
                <a:latin typeface="Montserrat"/>
              </a:rPr>
              <a:t>Burndown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6"/>
          <c:order val="6"/>
          <c:tx>
            <c:v>Horas estimadas de producto por realizar</c:v>
          </c:tx>
          <c:spPr>
            <a:ln w="38100" cmpd="sng">
              <a:solidFill>
                <a:srgbClr val="FFE2CE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numRef>
              <c:f>'S1-S2 CHART 20 DÍAS'!$D$5:$W$5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'S1-S2 CHART 20 DÍAS'!$C$21:$W$21</c:f>
              <c:numCache>
                <c:formatCode>General</c:formatCode>
                <c:ptCount val="21"/>
                <c:pt idx="0">
                  <c:v>130</c:v>
                </c:pt>
                <c:pt idx="1">
                  <c:v>123.5</c:v>
                </c:pt>
                <c:pt idx="2">
                  <c:v>117</c:v>
                </c:pt>
                <c:pt idx="3">
                  <c:v>110.5</c:v>
                </c:pt>
                <c:pt idx="4">
                  <c:v>104</c:v>
                </c:pt>
                <c:pt idx="5">
                  <c:v>97.5</c:v>
                </c:pt>
                <c:pt idx="6">
                  <c:v>91</c:v>
                </c:pt>
                <c:pt idx="7">
                  <c:v>84.5</c:v>
                </c:pt>
                <c:pt idx="8">
                  <c:v>78</c:v>
                </c:pt>
                <c:pt idx="9">
                  <c:v>71.5</c:v>
                </c:pt>
                <c:pt idx="10">
                  <c:v>65</c:v>
                </c:pt>
                <c:pt idx="11">
                  <c:v>58.5</c:v>
                </c:pt>
                <c:pt idx="12">
                  <c:v>52</c:v>
                </c:pt>
                <c:pt idx="13">
                  <c:v>45.5</c:v>
                </c:pt>
                <c:pt idx="14">
                  <c:v>39</c:v>
                </c:pt>
                <c:pt idx="15">
                  <c:v>32.5</c:v>
                </c:pt>
                <c:pt idx="16">
                  <c:v>26</c:v>
                </c:pt>
                <c:pt idx="17">
                  <c:v>19.5</c:v>
                </c:pt>
                <c:pt idx="18">
                  <c:v>13</c:v>
                </c:pt>
                <c:pt idx="19">
                  <c:v>6.5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76A-45F1-9140-B80A3715D3B3}"/>
            </c:ext>
          </c:extLst>
        </c:ser>
        <c:ser>
          <c:idx val="7"/>
          <c:order val="7"/>
          <c:tx>
            <c:v>Horas reales de producto por realizar</c:v>
          </c:tx>
          <c:spPr>
            <a:ln w="38100" cmpd="sng">
              <a:solidFill>
                <a:srgbClr val="F2A46F"/>
              </a:solidFill>
            </a:ln>
          </c:spPr>
          <c:marker>
            <c:symbol val="none"/>
          </c:marker>
          <c:cat>
            <c:numRef>
              <c:f>'S1-S2 CHART 20 DÍAS'!$D$5:$W$5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'S1-S2 CHART 20 DÍAS'!$C$19:$W$19</c:f>
              <c:numCache>
                <c:formatCode>General</c:formatCode>
                <c:ptCount val="21"/>
                <c:pt idx="0">
                  <c:v>130</c:v>
                </c:pt>
                <c:pt idx="1">
                  <c:v>125</c:v>
                </c:pt>
                <c:pt idx="2">
                  <c:v>122</c:v>
                </c:pt>
                <c:pt idx="3">
                  <c:v>118</c:v>
                </c:pt>
                <c:pt idx="4">
                  <c:v>115</c:v>
                </c:pt>
                <c:pt idx="5">
                  <c:v>109</c:v>
                </c:pt>
                <c:pt idx="6">
                  <c:v>104</c:v>
                </c:pt>
                <c:pt idx="7">
                  <c:v>97</c:v>
                </c:pt>
                <c:pt idx="8">
                  <c:v>90</c:v>
                </c:pt>
                <c:pt idx="9">
                  <c:v>83</c:v>
                </c:pt>
                <c:pt idx="10">
                  <c:v>74</c:v>
                </c:pt>
                <c:pt idx="11">
                  <c:v>68</c:v>
                </c:pt>
                <c:pt idx="12">
                  <c:v>60</c:v>
                </c:pt>
                <c:pt idx="13">
                  <c:v>52</c:v>
                </c:pt>
                <c:pt idx="14">
                  <c:v>43</c:v>
                </c:pt>
                <c:pt idx="15">
                  <c:v>36</c:v>
                </c:pt>
                <c:pt idx="16">
                  <c:v>30</c:v>
                </c:pt>
                <c:pt idx="17">
                  <c:v>22</c:v>
                </c:pt>
                <c:pt idx="18">
                  <c:v>15</c:v>
                </c:pt>
                <c:pt idx="19">
                  <c:v>7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76A-45F1-9140-B80A3715D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4763683"/>
        <c:axId val="35667883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38100" cmpd="sng">
                    <a:solidFill>
                      <a:srgbClr val="E06666">
                        <a:alpha val="100000"/>
                      </a:srgbClr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'S1-S2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'S1-S2 CHART 20 DÍAS'!$D$6:$W$6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0-076A-45F1-9140-B80A3715D3B3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38100" cmpd="sng">
                    <a:solidFill>
                      <a:srgbClr val="8E7CC3">
                        <a:alpha val="100000"/>
                      </a:srgbClr>
                    </a:solidFill>
                    <a:prstDash val="solid"/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'S1-S2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'S1-S2 CHART 20 DÍAS'!$D$7:$W$7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2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76A-45F1-9140-B80A3715D3B3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cmpd="sng">
                    <a:solidFill>
                      <a:srgbClr val="A5A5A5">
                        <a:alpha val="100000"/>
                      </a:srgbClr>
                    </a:solidFill>
                    <a:prstDash val="solid"/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'S1-S2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'S1-S2 CHART 20 DÍAS'!$D$8:$W$8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2</c:v>
                      </c:pt>
                      <c:pt idx="11">
                        <c:v>2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76A-45F1-9140-B80A3715D3B3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cmpd="sng">
                    <a:solidFill>
                      <a:srgbClr val="FFC000"/>
                    </a:solidFill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'S1-S2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'S1-S2 CHART 20 DÍAS'!$D$9:$W$9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4">
                        <c:v>3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3</c:v>
                      </c:pt>
                      <c:pt idx="10">
                        <c:v>2</c:v>
                      </c:pt>
                      <c:pt idx="11">
                        <c:v>3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76A-45F1-9140-B80A3715D3B3}"/>
                  </c:ext>
                </c:extLst>
              </c15:ser>
            </c15:filteredLineSeries>
            <c15:filteredLineSeries>
              <c15:ser>
                <c:idx val="4"/>
                <c:order val="4"/>
                <c:spPr>
                  <a:ln cmpd="sng">
                    <a:solidFill>
                      <a:srgbClr val="4472C4"/>
                    </a:solidFill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'S1-S2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'S1-S2 CHART 20 DÍAS'!$D$11:$W$11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12">
                        <c:v>1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76A-45F1-9140-B80A3715D3B3}"/>
                  </c:ext>
                </c:extLst>
              </c15:ser>
            </c15:filteredLineSeries>
            <c15:filteredLineSeries>
              <c15:ser>
                <c:idx val="5"/>
                <c:order val="5"/>
                <c:spPr>
                  <a:ln cmpd="sng">
                    <a:solidFill>
                      <a:srgbClr val="70AD47"/>
                    </a:solidFill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'S1-S2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'S1-S2 CHART 20 DÍAS'!$D$16:$W$16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16">
                        <c:v>3</c:v>
                      </c:pt>
                      <c:pt idx="17">
                        <c:v>3</c:v>
                      </c:pt>
                      <c:pt idx="18">
                        <c:v>2</c:v>
                      </c:pt>
                      <c:pt idx="19">
                        <c:v>2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76A-45F1-9140-B80A3715D3B3}"/>
                  </c:ext>
                </c:extLst>
              </c15:ser>
            </c15:filteredLineSeries>
          </c:ext>
        </c:extLst>
      </c:lineChart>
      <c:catAx>
        <c:axId val="744763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613615"/>
                    </a:solidFill>
                    <a:latin typeface="Montserrat"/>
                  </a:defRPr>
                </a:pPr>
                <a:r>
                  <a:rPr lang="es-ES" sz="1000" b="1" i="0">
                    <a:solidFill>
                      <a:srgbClr val="613615"/>
                    </a:solidFill>
                    <a:latin typeface="Montserra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356678833"/>
        <c:crosses val="autoZero"/>
        <c:auto val="1"/>
        <c:lblAlgn val="ctr"/>
        <c:lblOffset val="100"/>
        <c:noMultiLvlLbl val="1"/>
      </c:catAx>
      <c:valAx>
        <c:axId val="356678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613615"/>
                    </a:solidFill>
                    <a:latin typeface="Montserrat"/>
                  </a:defRPr>
                </a:pPr>
                <a:r>
                  <a:rPr lang="es-ES" sz="1000" b="1" i="0">
                    <a:solidFill>
                      <a:srgbClr val="613615"/>
                    </a:solidFill>
                    <a:latin typeface="Montserra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74476368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219075</xdr:colOff>
      <xdr:row>2</xdr:row>
      <xdr:rowOff>171450</xdr:rowOff>
    </xdr:from>
    <xdr:ext cx="3562350" cy="5953125"/>
    <xdr:graphicFrame macro="">
      <xdr:nvGraphicFramePr>
        <xdr:cNvPr id="734700866" name="Chart 1" title="Gráfico">
          <a:extLst>
            <a:ext uri="{FF2B5EF4-FFF2-40B4-BE49-F238E27FC236}">
              <a16:creationId xmlns:a16="http://schemas.microsoft.com/office/drawing/2014/main" id="{00000000-0008-0000-0000-000042A5C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76B3D"/>
  </sheetPr>
  <dimension ref="A1:AE992"/>
  <sheetViews>
    <sheetView showGridLines="0" tabSelected="1" zoomScaleNormal="100" workbookViewId="0">
      <selection activeCell="AE14" sqref="AE14"/>
    </sheetView>
  </sheetViews>
  <sheetFormatPr baseColWidth="10" defaultColWidth="14.42578125" defaultRowHeight="15" customHeight="1"/>
  <cols>
    <col min="1" max="1" width="10.7109375" customWidth="1"/>
    <col min="2" max="2" width="45.7109375" customWidth="1"/>
    <col min="3" max="3" width="17" customWidth="1"/>
    <col min="4" max="23" width="5.140625" customWidth="1"/>
    <col min="24" max="31" width="10.7109375" customWidth="1"/>
  </cols>
  <sheetData>
    <row r="1" spans="1:24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>
      <c r="A2" s="1"/>
      <c r="B2" s="31" t="s">
        <v>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24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4.25" customHeight="1">
      <c r="A4" s="4"/>
      <c r="B4" s="26" t="s">
        <v>0</v>
      </c>
      <c r="C4" s="26" t="s">
        <v>1</v>
      </c>
      <c r="D4" s="28" t="s">
        <v>2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30"/>
      <c r="X4" s="26" t="s">
        <v>3</v>
      </c>
    </row>
    <row r="5" spans="1:24" ht="14.25" customHeight="1">
      <c r="A5" s="4"/>
      <c r="B5" s="27"/>
      <c r="C5" s="27"/>
      <c r="D5" s="5">
        <v>1</v>
      </c>
      <c r="E5" s="5">
        <v>2</v>
      </c>
      <c r="F5" s="5">
        <v>3</v>
      </c>
      <c r="G5" s="5">
        <v>4</v>
      </c>
      <c r="H5" s="5">
        <v>5</v>
      </c>
      <c r="I5" s="5">
        <v>6</v>
      </c>
      <c r="J5" s="5">
        <v>7</v>
      </c>
      <c r="K5" s="5">
        <v>8</v>
      </c>
      <c r="L5" s="5">
        <v>9</v>
      </c>
      <c r="M5" s="5">
        <v>10</v>
      </c>
      <c r="N5" s="5">
        <v>11</v>
      </c>
      <c r="O5" s="5">
        <v>12</v>
      </c>
      <c r="P5" s="5">
        <v>13</v>
      </c>
      <c r="Q5" s="5">
        <v>14</v>
      </c>
      <c r="R5" s="5">
        <v>15</v>
      </c>
      <c r="S5" s="5">
        <v>16</v>
      </c>
      <c r="T5" s="5">
        <v>17</v>
      </c>
      <c r="U5" s="5">
        <v>18</v>
      </c>
      <c r="V5" s="5">
        <v>19</v>
      </c>
      <c r="W5" s="5">
        <v>20</v>
      </c>
      <c r="X5" s="27"/>
    </row>
    <row r="6" spans="1:24" ht="22.5" customHeight="1">
      <c r="A6" s="3"/>
      <c r="B6" s="6" t="s">
        <v>7</v>
      </c>
      <c r="C6" s="7">
        <v>5</v>
      </c>
      <c r="D6" s="6">
        <v>2</v>
      </c>
      <c r="E6" s="6">
        <v>1</v>
      </c>
      <c r="F6" s="6">
        <v>1</v>
      </c>
      <c r="G6" s="6">
        <v>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8"/>
      <c r="X6" s="9">
        <f t="shared" ref="X6:X16" si="0">SUM(D6:W6)</f>
        <v>5</v>
      </c>
    </row>
    <row r="7" spans="1:24" ht="22.5" customHeight="1">
      <c r="A7" s="3"/>
      <c r="B7" s="6" t="s">
        <v>8</v>
      </c>
      <c r="C7" s="7">
        <v>15</v>
      </c>
      <c r="D7" s="6">
        <v>3</v>
      </c>
      <c r="E7" s="6">
        <v>2</v>
      </c>
      <c r="F7" s="6">
        <v>3</v>
      </c>
      <c r="G7" s="6">
        <v>2</v>
      </c>
      <c r="H7" s="6">
        <v>1</v>
      </c>
      <c r="I7" s="6">
        <v>1</v>
      </c>
      <c r="J7" s="6">
        <v>1</v>
      </c>
      <c r="K7" s="6">
        <v>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8"/>
      <c r="X7" s="10">
        <f t="shared" si="0"/>
        <v>15</v>
      </c>
    </row>
    <row r="8" spans="1:24" ht="22.5" customHeight="1">
      <c r="A8" s="3"/>
      <c r="B8" s="6" t="s">
        <v>9</v>
      </c>
      <c r="C8" s="7">
        <v>20</v>
      </c>
      <c r="D8" s="6"/>
      <c r="E8" s="6"/>
      <c r="F8" s="6"/>
      <c r="G8" s="6"/>
      <c r="H8" s="6">
        <v>2</v>
      </c>
      <c r="I8" s="6">
        <v>2</v>
      </c>
      <c r="J8" s="6">
        <v>3</v>
      </c>
      <c r="K8" s="6">
        <v>3</v>
      </c>
      <c r="L8" s="6">
        <v>3</v>
      </c>
      <c r="M8" s="6">
        <v>3</v>
      </c>
      <c r="N8" s="6">
        <v>2</v>
      </c>
      <c r="O8" s="6">
        <v>2</v>
      </c>
      <c r="P8" s="6"/>
      <c r="Q8" s="6"/>
      <c r="R8" s="6"/>
      <c r="S8" s="6"/>
      <c r="T8" s="6"/>
      <c r="U8" s="6"/>
      <c r="V8" s="6"/>
      <c r="W8" s="8"/>
      <c r="X8" s="10">
        <f t="shared" si="0"/>
        <v>20</v>
      </c>
    </row>
    <row r="9" spans="1:24" ht="22.5" customHeight="1">
      <c r="A9" s="3"/>
      <c r="B9" s="6" t="s">
        <v>10</v>
      </c>
      <c r="C9" s="7">
        <v>20</v>
      </c>
      <c r="D9" s="6"/>
      <c r="E9" s="6"/>
      <c r="F9" s="6"/>
      <c r="G9" s="6"/>
      <c r="H9" s="6">
        <v>3</v>
      </c>
      <c r="I9" s="6">
        <v>2</v>
      </c>
      <c r="J9" s="6">
        <v>3</v>
      </c>
      <c r="K9" s="6">
        <v>2</v>
      </c>
      <c r="L9" s="6">
        <v>2</v>
      </c>
      <c r="M9" s="6">
        <v>3</v>
      </c>
      <c r="N9" s="6">
        <v>2</v>
      </c>
      <c r="O9" s="6">
        <v>3</v>
      </c>
      <c r="P9" s="6"/>
      <c r="Q9" s="6"/>
      <c r="R9" s="6"/>
      <c r="S9" s="6"/>
      <c r="T9" s="6"/>
      <c r="U9" s="6"/>
      <c r="V9" s="6"/>
      <c r="W9" s="8"/>
      <c r="X9" s="10">
        <f>SUM(D9:W9)</f>
        <v>20</v>
      </c>
    </row>
    <row r="10" spans="1:24" ht="22.5" customHeight="1">
      <c r="A10" s="3"/>
      <c r="B10" s="6" t="s">
        <v>11</v>
      </c>
      <c r="C10" s="7">
        <v>5</v>
      </c>
      <c r="D10" s="6"/>
      <c r="E10" s="6"/>
      <c r="F10" s="6"/>
      <c r="G10" s="6"/>
      <c r="H10" s="6"/>
      <c r="I10" s="6"/>
      <c r="J10" s="6"/>
      <c r="K10" s="6"/>
      <c r="L10" s="6">
        <v>1</v>
      </c>
      <c r="M10" s="6">
        <v>2</v>
      </c>
      <c r="N10" s="6">
        <v>1</v>
      </c>
      <c r="O10" s="6">
        <v>1</v>
      </c>
      <c r="P10" s="6"/>
      <c r="Q10" s="6"/>
      <c r="R10" s="6"/>
      <c r="S10" s="6"/>
      <c r="T10" s="6"/>
      <c r="U10" s="6"/>
      <c r="V10" s="6"/>
      <c r="W10" s="8"/>
      <c r="X10" s="10">
        <f>SUM(D10:W10)</f>
        <v>5</v>
      </c>
    </row>
    <row r="11" spans="1:24" ht="22.5" customHeight="1">
      <c r="A11" s="3"/>
      <c r="B11" s="6" t="s">
        <v>12</v>
      </c>
      <c r="C11" s="7">
        <v>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>
        <v>1</v>
      </c>
      <c r="Q11" s="6">
        <v>2</v>
      </c>
      <c r="R11" s="6">
        <v>1</v>
      </c>
      <c r="S11" s="6">
        <v>1</v>
      </c>
      <c r="T11" s="6"/>
      <c r="U11" s="6"/>
      <c r="V11" s="6"/>
      <c r="W11" s="8"/>
      <c r="X11" s="10">
        <f t="shared" si="0"/>
        <v>5</v>
      </c>
    </row>
    <row r="12" spans="1:24" ht="22.5" customHeight="1">
      <c r="A12" s="3"/>
      <c r="B12" s="6" t="s">
        <v>13</v>
      </c>
      <c r="C12" s="7">
        <v>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1</v>
      </c>
      <c r="Q12" s="6">
        <v>1</v>
      </c>
      <c r="R12" s="6">
        <v>2</v>
      </c>
      <c r="S12" s="6">
        <v>1</v>
      </c>
      <c r="T12" s="6"/>
      <c r="U12" s="6"/>
      <c r="V12" s="6"/>
      <c r="W12" s="8"/>
      <c r="X12" s="10">
        <f t="shared" si="0"/>
        <v>5</v>
      </c>
    </row>
    <row r="13" spans="1:24" ht="22.5" customHeight="1">
      <c r="A13" s="3"/>
      <c r="B13" s="6" t="s">
        <v>14</v>
      </c>
      <c r="C13" s="7">
        <v>15</v>
      </c>
      <c r="D13" s="6"/>
      <c r="E13" s="6"/>
      <c r="F13" s="6"/>
      <c r="G13" s="6"/>
      <c r="H13" s="6"/>
      <c r="I13" s="6"/>
      <c r="J13" s="6"/>
      <c r="K13" s="6"/>
      <c r="L13" s="6">
        <v>1</v>
      </c>
      <c r="M13" s="6">
        <v>1</v>
      </c>
      <c r="N13" s="6">
        <v>1</v>
      </c>
      <c r="O13" s="6">
        <v>2</v>
      </c>
      <c r="P13" s="6">
        <v>3</v>
      </c>
      <c r="Q13" s="6">
        <v>3</v>
      </c>
      <c r="R13" s="6">
        <v>2</v>
      </c>
      <c r="S13" s="6">
        <v>2</v>
      </c>
      <c r="T13" s="6"/>
      <c r="U13" s="6"/>
      <c r="V13" s="6"/>
      <c r="W13" s="8"/>
      <c r="X13" s="10">
        <f t="shared" si="0"/>
        <v>15</v>
      </c>
    </row>
    <row r="14" spans="1:24" ht="22.5" customHeight="1">
      <c r="A14" s="3"/>
      <c r="B14" s="6" t="s">
        <v>15</v>
      </c>
      <c r="C14" s="7">
        <v>15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v>2</v>
      </c>
      <c r="Q14" s="6">
        <v>1</v>
      </c>
      <c r="R14" s="6">
        <v>1</v>
      </c>
      <c r="S14" s="6">
        <v>1</v>
      </c>
      <c r="T14" s="6">
        <v>3</v>
      </c>
      <c r="U14" s="6">
        <v>2</v>
      </c>
      <c r="V14" s="6">
        <v>3</v>
      </c>
      <c r="W14" s="8">
        <v>2</v>
      </c>
      <c r="X14" s="10">
        <f t="shared" si="0"/>
        <v>15</v>
      </c>
    </row>
    <row r="15" spans="1:24" ht="22.5" customHeight="1">
      <c r="A15" s="3"/>
      <c r="B15" s="6" t="s">
        <v>16</v>
      </c>
      <c r="C15" s="7">
        <v>15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</v>
      </c>
      <c r="Q15" s="6">
        <v>2</v>
      </c>
      <c r="R15" s="6">
        <v>1</v>
      </c>
      <c r="S15" s="6">
        <v>1</v>
      </c>
      <c r="T15" s="6">
        <v>2</v>
      </c>
      <c r="U15" s="6">
        <v>2</v>
      </c>
      <c r="V15" s="6">
        <v>3</v>
      </c>
      <c r="W15" s="8">
        <v>3</v>
      </c>
      <c r="X15" s="10">
        <f t="shared" si="0"/>
        <v>15</v>
      </c>
    </row>
    <row r="16" spans="1:24" ht="22.5" customHeight="1">
      <c r="A16" s="3"/>
      <c r="B16" s="6" t="s">
        <v>17</v>
      </c>
      <c r="C16" s="7">
        <v>10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3</v>
      </c>
      <c r="U16" s="6">
        <v>3</v>
      </c>
      <c r="V16" s="6">
        <v>2</v>
      </c>
      <c r="W16" s="6">
        <v>2</v>
      </c>
      <c r="X16" s="33">
        <f t="shared" si="0"/>
        <v>10</v>
      </c>
    </row>
    <row r="17" spans="1:31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31" ht="14.25" customHeight="1">
      <c r="A18" s="3"/>
      <c r="B18" s="3"/>
      <c r="C18" s="11">
        <f>SUM(C6:C17)</f>
        <v>130</v>
      </c>
      <c r="D18" s="11">
        <f>C18</f>
        <v>130</v>
      </c>
      <c r="E18" s="11">
        <f t="shared" ref="E18:X18" si="1">D18-SUM(D6:D16)</f>
        <v>125</v>
      </c>
      <c r="F18" s="11">
        <f t="shared" si="1"/>
        <v>122</v>
      </c>
      <c r="G18" s="11">
        <f t="shared" si="1"/>
        <v>118</v>
      </c>
      <c r="H18" s="11">
        <f t="shared" si="1"/>
        <v>115</v>
      </c>
      <c r="I18" s="11">
        <f t="shared" si="1"/>
        <v>109</v>
      </c>
      <c r="J18" s="11">
        <f t="shared" si="1"/>
        <v>104</v>
      </c>
      <c r="K18" s="11">
        <f t="shared" si="1"/>
        <v>97</v>
      </c>
      <c r="L18" s="11">
        <f t="shared" si="1"/>
        <v>90</v>
      </c>
      <c r="M18" s="11">
        <f t="shared" si="1"/>
        <v>83</v>
      </c>
      <c r="N18" s="11">
        <f t="shared" si="1"/>
        <v>74</v>
      </c>
      <c r="O18" s="11">
        <f t="shared" si="1"/>
        <v>68</v>
      </c>
      <c r="P18" s="11">
        <f t="shared" si="1"/>
        <v>60</v>
      </c>
      <c r="Q18" s="11">
        <f t="shared" si="1"/>
        <v>52</v>
      </c>
      <c r="R18" s="11">
        <f t="shared" si="1"/>
        <v>43</v>
      </c>
      <c r="S18" s="11">
        <f t="shared" si="1"/>
        <v>36</v>
      </c>
      <c r="T18" s="11">
        <f t="shared" si="1"/>
        <v>30</v>
      </c>
      <c r="U18" s="11">
        <f t="shared" si="1"/>
        <v>22</v>
      </c>
      <c r="V18" s="11">
        <f t="shared" si="1"/>
        <v>15</v>
      </c>
      <c r="W18" s="11">
        <f t="shared" si="1"/>
        <v>7</v>
      </c>
      <c r="X18" s="11">
        <f t="shared" si="1"/>
        <v>0</v>
      </c>
    </row>
    <row r="19" spans="1:31" ht="22.5" customHeight="1">
      <c r="A19" s="12"/>
      <c r="B19" s="13" t="s">
        <v>4</v>
      </c>
      <c r="C19" s="14">
        <f t="shared" ref="C19:W19" si="2">D18</f>
        <v>130</v>
      </c>
      <c r="D19" s="14">
        <f t="shared" si="2"/>
        <v>125</v>
      </c>
      <c r="E19" s="15">
        <f t="shared" si="2"/>
        <v>122</v>
      </c>
      <c r="F19" s="15">
        <f t="shared" si="2"/>
        <v>118</v>
      </c>
      <c r="G19" s="15">
        <f t="shared" si="2"/>
        <v>115</v>
      </c>
      <c r="H19" s="15">
        <f t="shared" si="2"/>
        <v>109</v>
      </c>
      <c r="I19" s="15">
        <f t="shared" si="2"/>
        <v>104</v>
      </c>
      <c r="J19" s="15">
        <f t="shared" si="2"/>
        <v>97</v>
      </c>
      <c r="K19" s="15">
        <f t="shared" si="2"/>
        <v>90</v>
      </c>
      <c r="L19" s="15">
        <f t="shared" si="2"/>
        <v>83</v>
      </c>
      <c r="M19" s="15">
        <f t="shared" si="2"/>
        <v>74</v>
      </c>
      <c r="N19" s="15">
        <f t="shared" si="2"/>
        <v>68</v>
      </c>
      <c r="O19" s="15">
        <f t="shared" si="2"/>
        <v>60</v>
      </c>
      <c r="P19" s="15">
        <f t="shared" si="2"/>
        <v>52</v>
      </c>
      <c r="Q19" s="15">
        <f t="shared" si="2"/>
        <v>43</v>
      </c>
      <c r="R19" s="15">
        <f t="shared" si="2"/>
        <v>36</v>
      </c>
      <c r="S19" s="15">
        <f t="shared" si="2"/>
        <v>30</v>
      </c>
      <c r="T19" s="15">
        <f t="shared" si="2"/>
        <v>22</v>
      </c>
      <c r="U19" s="15">
        <f t="shared" si="2"/>
        <v>15</v>
      </c>
      <c r="V19" s="15">
        <f t="shared" si="2"/>
        <v>7</v>
      </c>
      <c r="W19" s="16">
        <f t="shared" si="2"/>
        <v>0</v>
      </c>
      <c r="X19" s="17"/>
      <c r="Y19" s="18"/>
      <c r="Z19" s="18"/>
      <c r="AA19" s="18"/>
      <c r="AB19" s="18"/>
      <c r="AC19" s="18"/>
      <c r="AD19" s="18"/>
      <c r="AE19" s="18"/>
    </row>
    <row r="20" spans="1:31" ht="14.25" customHeight="1">
      <c r="A20" s="3"/>
      <c r="B20" s="3"/>
      <c r="C20" s="11">
        <f>SUM(C6:C16)</f>
        <v>130</v>
      </c>
      <c r="D20" s="11">
        <f>SUM(C6:C16)</f>
        <v>130</v>
      </c>
      <c r="E20" s="11">
        <f t="shared" ref="E20:X20" si="3">D20-(SUM($C$6:$C$16)/20)</f>
        <v>123.5</v>
      </c>
      <c r="F20" s="11">
        <f t="shared" si="3"/>
        <v>117</v>
      </c>
      <c r="G20" s="11">
        <f t="shared" si="3"/>
        <v>110.5</v>
      </c>
      <c r="H20" s="11">
        <f t="shared" si="3"/>
        <v>104</v>
      </c>
      <c r="I20" s="11">
        <f t="shared" si="3"/>
        <v>97.5</v>
      </c>
      <c r="J20" s="11">
        <f t="shared" si="3"/>
        <v>91</v>
      </c>
      <c r="K20" s="11">
        <f t="shared" si="3"/>
        <v>84.5</v>
      </c>
      <c r="L20" s="11">
        <f t="shared" si="3"/>
        <v>78</v>
      </c>
      <c r="M20" s="11">
        <f t="shared" si="3"/>
        <v>71.5</v>
      </c>
      <c r="N20" s="11">
        <f t="shared" si="3"/>
        <v>65</v>
      </c>
      <c r="O20" s="11">
        <f t="shared" si="3"/>
        <v>58.5</v>
      </c>
      <c r="P20" s="11">
        <f t="shared" si="3"/>
        <v>52</v>
      </c>
      <c r="Q20" s="11">
        <f t="shared" si="3"/>
        <v>45.5</v>
      </c>
      <c r="R20" s="11">
        <f t="shared" si="3"/>
        <v>39</v>
      </c>
      <c r="S20" s="11">
        <f t="shared" si="3"/>
        <v>32.5</v>
      </c>
      <c r="T20" s="11">
        <f t="shared" si="3"/>
        <v>26</v>
      </c>
      <c r="U20" s="11">
        <f t="shared" si="3"/>
        <v>19.5</v>
      </c>
      <c r="V20" s="11">
        <f t="shared" si="3"/>
        <v>13</v>
      </c>
      <c r="W20" s="11">
        <f t="shared" si="3"/>
        <v>6.5</v>
      </c>
      <c r="X20" s="11">
        <f t="shared" si="3"/>
        <v>0</v>
      </c>
    </row>
    <row r="21" spans="1:31" ht="22.5" customHeight="1">
      <c r="A21" s="12"/>
      <c r="B21" s="19" t="s">
        <v>5</v>
      </c>
      <c r="C21" s="20">
        <f>C20</f>
        <v>130</v>
      </c>
      <c r="D21" s="20">
        <f t="shared" ref="D21:W21" si="4">E20</f>
        <v>123.5</v>
      </c>
      <c r="E21" s="21">
        <f t="shared" si="4"/>
        <v>117</v>
      </c>
      <c r="F21" s="21">
        <f t="shared" si="4"/>
        <v>110.5</v>
      </c>
      <c r="G21" s="21">
        <f t="shared" si="4"/>
        <v>104</v>
      </c>
      <c r="H21" s="21">
        <f t="shared" si="4"/>
        <v>97.5</v>
      </c>
      <c r="I21" s="21">
        <f t="shared" si="4"/>
        <v>91</v>
      </c>
      <c r="J21" s="21">
        <f t="shared" si="4"/>
        <v>84.5</v>
      </c>
      <c r="K21" s="21">
        <f t="shared" si="4"/>
        <v>78</v>
      </c>
      <c r="L21" s="21">
        <f t="shared" si="4"/>
        <v>71.5</v>
      </c>
      <c r="M21" s="21">
        <f t="shared" si="4"/>
        <v>65</v>
      </c>
      <c r="N21" s="21">
        <f t="shared" si="4"/>
        <v>58.5</v>
      </c>
      <c r="O21" s="21">
        <f t="shared" si="4"/>
        <v>52</v>
      </c>
      <c r="P21" s="21">
        <f t="shared" si="4"/>
        <v>45.5</v>
      </c>
      <c r="Q21" s="21">
        <f t="shared" si="4"/>
        <v>39</v>
      </c>
      <c r="R21" s="21">
        <f t="shared" si="4"/>
        <v>32.5</v>
      </c>
      <c r="S21" s="21">
        <f t="shared" si="4"/>
        <v>26</v>
      </c>
      <c r="T21" s="21">
        <f t="shared" si="4"/>
        <v>19.5</v>
      </c>
      <c r="U21" s="21">
        <f t="shared" si="4"/>
        <v>13</v>
      </c>
      <c r="V21" s="21">
        <f t="shared" si="4"/>
        <v>6.5</v>
      </c>
      <c r="W21" s="22">
        <f t="shared" si="4"/>
        <v>0</v>
      </c>
      <c r="X21" s="17"/>
      <c r="Y21" s="18"/>
      <c r="Z21" s="18"/>
      <c r="AA21" s="18"/>
      <c r="AB21" s="18"/>
      <c r="AC21" s="18"/>
      <c r="AD21" s="18"/>
      <c r="AE21" s="18"/>
    </row>
    <row r="22" spans="1:31" ht="14.25" customHeight="1">
      <c r="A22" s="3"/>
      <c r="B22" s="3"/>
      <c r="C22" s="2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31" ht="14.25" customHeight="1">
      <c r="A23" s="3"/>
      <c r="B23" s="3"/>
      <c r="C23" s="23"/>
      <c r="D23" s="3"/>
      <c r="E23" s="3"/>
      <c r="F23" s="3"/>
      <c r="G23" s="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31" ht="14.25" customHeight="1">
      <c r="A24" s="3"/>
      <c r="B24" s="3"/>
      <c r="C24" s="23"/>
      <c r="D24" s="3"/>
      <c r="E24" s="3"/>
      <c r="F24" s="3"/>
      <c r="G24" s="3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31" ht="14.25" customHeight="1">
      <c r="A25" s="3"/>
      <c r="B25" s="3"/>
      <c r="C25" s="23"/>
      <c r="D25" s="3"/>
      <c r="E25" s="3"/>
      <c r="F25" s="3"/>
      <c r="G25" s="3"/>
      <c r="H25" s="23"/>
      <c r="I25" s="3"/>
      <c r="J25" s="3"/>
    </row>
    <row r="26" spans="1:31" ht="14.25" customHeight="1">
      <c r="A26" s="3"/>
      <c r="B26" s="3"/>
      <c r="C26" s="23"/>
      <c r="D26" s="3"/>
      <c r="E26" s="3"/>
      <c r="F26" s="3"/>
      <c r="G26" s="3"/>
      <c r="H26" s="23"/>
      <c r="I26" s="3"/>
      <c r="J26" s="3"/>
    </row>
    <row r="27" spans="1:31" ht="14.25" customHeight="1">
      <c r="A27" s="3"/>
      <c r="B27" s="3"/>
      <c r="C27" s="23"/>
      <c r="D27" s="3"/>
      <c r="E27" s="3"/>
      <c r="F27" s="3"/>
      <c r="G27" s="3"/>
      <c r="H27" s="23"/>
      <c r="I27" s="3"/>
      <c r="J27" s="3"/>
    </row>
    <row r="28" spans="1:31" ht="14.25" customHeight="1">
      <c r="A28" s="3"/>
      <c r="B28" s="3"/>
      <c r="C28" s="23"/>
      <c r="D28" s="3"/>
      <c r="E28" s="3"/>
      <c r="F28" s="3"/>
      <c r="G28" s="3"/>
      <c r="H28" s="23"/>
      <c r="I28" s="3"/>
      <c r="J28" s="3"/>
    </row>
    <row r="29" spans="1:31" ht="14.25" customHeight="1">
      <c r="A29" s="3"/>
      <c r="B29" s="3"/>
      <c r="C29" s="23"/>
      <c r="D29" s="3"/>
      <c r="E29" s="3"/>
      <c r="F29" s="3"/>
      <c r="G29" s="3"/>
      <c r="H29" s="3"/>
      <c r="I29" s="3"/>
      <c r="J29" s="3"/>
    </row>
    <row r="30" spans="1:31" ht="14.25" customHeight="1">
      <c r="A30" s="3"/>
      <c r="B30" s="3"/>
      <c r="C30" s="23"/>
      <c r="D30" s="3"/>
      <c r="E30" s="3"/>
      <c r="F30" s="3"/>
      <c r="G30" s="3"/>
      <c r="H30" s="3"/>
      <c r="I30" s="3"/>
      <c r="J30" s="3"/>
    </row>
    <row r="31" spans="1:31" ht="14.25" customHeight="1">
      <c r="A31" s="3"/>
      <c r="B31" s="3"/>
      <c r="C31" s="23"/>
      <c r="D31" s="3"/>
      <c r="E31" s="3"/>
      <c r="F31" s="3"/>
      <c r="G31" s="3"/>
      <c r="H31" s="3"/>
      <c r="I31" s="3"/>
      <c r="J31" s="3"/>
    </row>
    <row r="32" spans="1:31" ht="14.25" customHeight="1"/>
    <row r="33" spans="2:9" ht="14.25" customHeight="1"/>
    <row r="34" spans="2:9" ht="14.25" customHeight="1"/>
    <row r="35" spans="2:9" ht="14.25" customHeight="1"/>
    <row r="36" spans="2:9" ht="14.25" customHeight="1"/>
    <row r="37" spans="2:9" ht="14.25" customHeight="1"/>
    <row r="38" spans="2:9" ht="14.25" customHeight="1"/>
    <row r="39" spans="2:9" ht="14.25" customHeight="1"/>
    <row r="40" spans="2:9" ht="14.25" customHeight="1"/>
    <row r="41" spans="2:9" ht="14.25" customHeight="1"/>
    <row r="42" spans="2:9" ht="14.25" customHeight="1"/>
    <row r="43" spans="2:9" ht="14.25" customHeight="1">
      <c r="B43" s="24"/>
      <c r="C43" s="24"/>
      <c r="D43" s="24"/>
      <c r="E43" s="24"/>
      <c r="F43" s="24"/>
      <c r="G43" s="24"/>
      <c r="H43" s="24"/>
      <c r="I43" s="24"/>
    </row>
    <row r="44" spans="2:9" ht="14.25" customHeight="1">
      <c r="B44" s="25"/>
      <c r="C44" s="25"/>
      <c r="D44" s="24"/>
      <c r="E44" s="24"/>
      <c r="F44" s="24"/>
      <c r="G44" s="24"/>
      <c r="H44" s="24"/>
      <c r="I44" s="24"/>
    </row>
    <row r="45" spans="2:9" ht="14.25" customHeight="1">
      <c r="B45" s="25"/>
      <c r="C45" s="25"/>
      <c r="D45" s="24"/>
      <c r="E45" s="24"/>
      <c r="F45" s="24"/>
      <c r="G45" s="24"/>
      <c r="H45" s="24"/>
      <c r="I45" s="24"/>
    </row>
    <row r="46" spans="2:9" ht="14.25" customHeight="1">
      <c r="B46" s="25"/>
      <c r="C46" s="25"/>
      <c r="D46" s="24"/>
      <c r="E46" s="24"/>
      <c r="F46" s="24"/>
      <c r="G46" s="24"/>
      <c r="H46" s="24"/>
      <c r="I46" s="24"/>
    </row>
    <row r="47" spans="2:9" ht="14.25" customHeight="1">
      <c r="B47" s="25"/>
      <c r="C47" s="25"/>
      <c r="D47" s="24"/>
      <c r="E47" s="24"/>
      <c r="F47" s="24"/>
      <c r="G47" s="24"/>
      <c r="H47" s="24"/>
      <c r="I47" s="24"/>
    </row>
    <row r="48" spans="2:9" ht="14.25" customHeight="1">
      <c r="B48" s="25"/>
      <c r="C48" s="25"/>
      <c r="D48" s="24"/>
      <c r="E48" s="24"/>
      <c r="F48" s="24"/>
      <c r="G48" s="24"/>
      <c r="H48" s="24"/>
      <c r="I48" s="24"/>
    </row>
    <row r="49" spans="2:9" ht="14.25" customHeight="1">
      <c r="B49" s="25"/>
      <c r="C49" s="25"/>
      <c r="D49" s="24"/>
      <c r="E49" s="24"/>
      <c r="F49" s="24"/>
      <c r="G49" s="24"/>
      <c r="H49" s="24"/>
      <c r="I49" s="24"/>
    </row>
    <row r="50" spans="2:9" ht="14.25" customHeight="1">
      <c r="B50" s="25"/>
      <c r="C50" s="25"/>
      <c r="D50" s="24"/>
      <c r="E50" s="24"/>
      <c r="F50" s="24"/>
      <c r="G50" s="24"/>
      <c r="H50" s="24"/>
      <c r="I50" s="24"/>
    </row>
    <row r="51" spans="2:9" ht="14.25" customHeight="1"/>
    <row r="52" spans="2:9" ht="14.25" customHeight="1"/>
    <row r="53" spans="2:9" ht="14.25" customHeight="1"/>
    <row r="54" spans="2:9" ht="14.25" customHeight="1"/>
    <row r="55" spans="2:9" ht="14.25" customHeight="1"/>
    <row r="56" spans="2:9" ht="14.25" customHeight="1"/>
    <row r="57" spans="2:9" ht="14.25" customHeight="1"/>
    <row r="58" spans="2:9" ht="14.25" customHeight="1"/>
    <row r="59" spans="2:9" ht="14.25" customHeight="1"/>
    <row r="60" spans="2:9" ht="14.25" customHeight="1"/>
    <row r="61" spans="2:9" ht="14.25" customHeight="1"/>
    <row r="62" spans="2:9" ht="14.25" customHeight="1"/>
    <row r="63" spans="2:9" ht="14.25" customHeight="1"/>
    <row r="64" spans="2:9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5">
    <mergeCell ref="B4:B5"/>
    <mergeCell ref="C4:C5"/>
    <mergeCell ref="D4:W4"/>
    <mergeCell ref="X4:X5"/>
    <mergeCell ref="B2:X2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S1-S2 CHART 20 DÍAS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Danny</cp:lastModifiedBy>
  <dcterms:created xsi:type="dcterms:W3CDTF">2018-02-12T12:05:26Z</dcterms:created>
  <dcterms:modified xsi:type="dcterms:W3CDTF">2026-10-01T15:20:30Z</dcterms:modified>
</cp:coreProperties>
</file>